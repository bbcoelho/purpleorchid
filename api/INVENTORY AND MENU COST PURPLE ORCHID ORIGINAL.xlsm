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bcoe\Desktop\Bruno\Faculdade\Dev\workspace\purpleorchid\"/>
    </mc:Choice>
  </mc:AlternateContent>
  <xr:revisionPtr revIDLastSave="0" documentId="13_ncr:1_{B0725000-6E5B-496C-9F03-E7D7B9F998B6}" xr6:coauthVersionLast="40" xr6:coauthVersionMax="47" xr10:uidLastSave="{00000000-0000-0000-0000-000000000000}"/>
  <bookViews>
    <workbookView xWindow="-105" yWindow="-105" windowWidth="23250" windowHeight="12570" tabRatio="771" xr2:uid="{00000000-000D-0000-FFFF-FFFF00000000}"/>
  </bookViews>
  <sheets>
    <sheet name="PRICES&amp;SUPPLIER" sheetId="50" r:id="rId1"/>
  </sheets>
  <externalReferences>
    <externalReference r:id="rId2"/>
    <externalReference r:id="rId3"/>
  </externalReferences>
  <definedNames>
    <definedName name="_xlnm._FilterDatabase" localSheetId="0" hidden="1">'PRICES&amp;SUPPLIER'!$D$3:$U$233</definedName>
    <definedName name="BU">#REF!</definedName>
    <definedName name="Category">#REF!</definedName>
    <definedName name="Conversions">#REF!</definedName>
    <definedName name="InventoryUnits">[1]Lists!$C$7:$C$32</definedName>
    <definedName name="Item">#REF!</definedName>
    <definedName name="RU">#REF!</definedName>
    <definedName name="Sheetnames">GET.WORKBOOK(1)&amp;T(NOW())</definedName>
    <definedName name="Shelf_Life">#REF!</definedName>
    <definedName name="Stations">#REF!</definedName>
    <definedName name="TableAnchor">[2]!List[[#Headers],[ ]]</definedName>
    <definedName name="UM">#REF!</definedName>
  </definedNames>
  <calcPr calcId="191028"/>
  <customWorkbookViews>
    <customWorkbookView name="Joe - Personal View" guid="{BA64B4A3-5FB8-4F2A-B023-3F5715462590}" mergeInterval="0" personalView="1" xWindow="190" yWindow="29" windowWidth="1660" windowHeight="989" tabRatio="771" activeSheetId="5"/>
  </customWorkbookViews>
</workbook>
</file>

<file path=xl/calcChain.xml><?xml version="1.0" encoding="utf-8"?>
<calcChain xmlns="http://schemas.openxmlformats.org/spreadsheetml/2006/main">
  <c r="G226" i="50" l="1"/>
  <c r="I174" i="50"/>
  <c r="I25" i="50"/>
  <c r="I23" i="50"/>
  <c r="G27" i="50"/>
  <c r="G29" i="50"/>
  <c r="I30" i="50"/>
  <c r="I64" i="50"/>
  <c r="I159" i="50"/>
  <c r="I44" i="50"/>
  <c r="I176" i="50"/>
  <c r="I180" i="50"/>
  <c r="I184" i="50"/>
  <c r="I194" i="50"/>
  <c r="G196" i="50"/>
  <c r="G50" i="50"/>
  <c r="I202" i="50"/>
  <c r="I103" i="50"/>
  <c r="I104" i="50"/>
  <c r="I105" i="50"/>
  <c r="I106" i="50"/>
</calcChain>
</file>

<file path=xl/sharedStrings.xml><?xml version="1.0" encoding="utf-8"?>
<sst xmlns="http://schemas.openxmlformats.org/spreadsheetml/2006/main" count="1361" uniqueCount="321">
  <si>
    <t>Oz</t>
  </si>
  <si>
    <t>1</t>
  </si>
  <si>
    <t>Loaf</t>
  </si>
  <si>
    <t>EA</t>
  </si>
  <si>
    <t>01Bakery</t>
  </si>
  <si>
    <t>MULTIGRAIN BREAD</t>
  </si>
  <si>
    <t>ALMOND MILK</t>
  </si>
  <si>
    <t>Case</t>
  </si>
  <si>
    <t>OZ-fl</t>
  </si>
  <si>
    <t>02Dairy</t>
  </si>
  <si>
    <t>BACON CRUMBLES</t>
  </si>
  <si>
    <t>10</t>
  </si>
  <si>
    <t>LB</t>
  </si>
  <si>
    <t>OZ-wt</t>
  </si>
  <si>
    <t>04Meat</t>
  </si>
  <si>
    <t>2</t>
  </si>
  <si>
    <t>COCONUT WATER</t>
  </si>
  <si>
    <t>08Soft Beverage</t>
  </si>
  <si>
    <t>GREEK YOGURT</t>
  </si>
  <si>
    <t>Bottle</t>
  </si>
  <si>
    <t>HUMMUS</t>
  </si>
  <si>
    <t>Pack</t>
  </si>
  <si>
    <t>MOZZARELLA FRESH</t>
  </si>
  <si>
    <t>Each</t>
  </si>
  <si>
    <t>REGULAR MILK</t>
  </si>
  <si>
    <t>SOY MILK</t>
  </si>
  <si>
    <t xml:space="preserve">TURKEY HAM </t>
  </si>
  <si>
    <t>CREAM CHESSE</t>
  </si>
  <si>
    <t>3</t>
  </si>
  <si>
    <t>EGGS CARTON JMB WH</t>
  </si>
  <si>
    <t>FETA CHEESE CRUMBLES</t>
  </si>
  <si>
    <t>5</t>
  </si>
  <si>
    <t>HOT CAPICOLA</t>
  </si>
  <si>
    <t>Box</t>
  </si>
  <si>
    <t>PROSCIUTTO</t>
  </si>
  <si>
    <t xml:space="preserve">PROVOLONE CHEESE </t>
  </si>
  <si>
    <t>30</t>
  </si>
  <si>
    <t>SALAMI</t>
  </si>
  <si>
    <t>SMOKED SALMON</t>
  </si>
  <si>
    <t>07Seafood</t>
  </si>
  <si>
    <t>TUNA SALAD</t>
  </si>
  <si>
    <t>TURKEY RAW</t>
  </si>
  <si>
    <t>05Poultry</t>
  </si>
  <si>
    <t>CHICKEN RAW</t>
  </si>
  <si>
    <t>CAPERS</t>
  </si>
  <si>
    <t>COCONUT MILK</t>
  </si>
  <si>
    <t>TUNA EN LATA EN AGUA</t>
  </si>
  <si>
    <t>Can</t>
  </si>
  <si>
    <t>ARTEASAN</t>
  </si>
  <si>
    <t>GINGERONA</t>
  </si>
  <si>
    <t>EVIAN 500ML</t>
  </si>
  <si>
    <t>GATORADE 20 oz</t>
  </si>
  <si>
    <t>PERRIER ORIGINAL</t>
  </si>
  <si>
    <t xml:space="preserve">REDBULL </t>
  </si>
  <si>
    <t xml:space="preserve">REDBULL SUGAR FREE </t>
  </si>
  <si>
    <t>SAN PELLEGRINO</t>
  </si>
  <si>
    <t>SUGARFREE CARAMEL SIRUP</t>
  </si>
  <si>
    <t>10Coffee Prep</t>
  </si>
  <si>
    <t>SUGARFREE MOCHA SIRUP</t>
  </si>
  <si>
    <t xml:space="preserve">BLUEBERRIES </t>
  </si>
  <si>
    <t>06Produce</t>
  </si>
  <si>
    <t>DATES</t>
  </si>
  <si>
    <t>Bag</t>
  </si>
  <si>
    <t>03Grocery</t>
  </si>
  <si>
    <t xml:space="preserve">MANGO </t>
  </si>
  <si>
    <t xml:space="preserve">STRAWBERRY </t>
  </si>
  <si>
    <t>4</t>
  </si>
  <si>
    <t xml:space="preserve">ACAI GUARANA </t>
  </si>
  <si>
    <t>11Frozen Fruit</t>
  </si>
  <si>
    <t>GREEN APPLE GRANNY</t>
  </si>
  <si>
    <t>72</t>
  </si>
  <si>
    <t>KIWI</t>
  </si>
  <si>
    <t>LEMON</t>
  </si>
  <si>
    <t xml:space="preserve">PINEAPPLE </t>
  </si>
  <si>
    <t xml:space="preserve">RED APPLE </t>
  </si>
  <si>
    <t>WATERMELON</t>
  </si>
  <si>
    <t>DRAGON FRUIT/PITAYA</t>
  </si>
  <si>
    <t>IQF BANANA</t>
  </si>
  <si>
    <t>20</t>
  </si>
  <si>
    <t>IQF BLACKBERRY</t>
  </si>
  <si>
    <t xml:space="preserve">IQF BLUEBERRY </t>
  </si>
  <si>
    <t xml:space="preserve">IQF MANGO </t>
  </si>
  <si>
    <t xml:space="preserve">IQF PAPAYA </t>
  </si>
  <si>
    <t>IQF PINEAPPLE</t>
  </si>
  <si>
    <t>22</t>
  </si>
  <si>
    <t xml:space="preserve">IQF RASPBERRY </t>
  </si>
  <si>
    <t>IQF STRAWBERRY</t>
  </si>
  <si>
    <t>PASSION FRUIT JUICE</t>
  </si>
  <si>
    <t xml:space="preserve">BANANA </t>
  </si>
  <si>
    <t>GRAPEFRUIT</t>
  </si>
  <si>
    <t>ORANGE</t>
  </si>
  <si>
    <t>Carton</t>
  </si>
  <si>
    <t>CORIANDER SEEDS</t>
  </si>
  <si>
    <t xml:space="preserve">AGAVE </t>
  </si>
  <si>
    <t>BALSAMIC VINEGAR</t>
  </si>
  <si>
    <t>EXTRA VIRGIN OLIVE OIL</t>
  </si>
  <si>
    <t>GREEN TEA</t>
  </si>
  <si>
    <t>HONEY CLOVER</t>
  </si>
  <si>
    <t>PESTO</t>
  </si>
  <si>
    <t>QUINOA</t>
  </si>
  <si>
    <t>4.5</t>
  </si>
  <si>
    <t>STEVIA ENVELOPE</t>
  </si>
  <si>
    <t>BROWN SUGAR ENVELOPE</t>
  </si>
  <si>
    <t>COCONUT CREAM COCOLOPEZ</t>
  </si>
  <si>
    <t>EXTRA HEAVY MAYONESA</t>
  </si>
  <si>
    <t>GROUND BLACK PEPPER</t>
  </si>
  <si>
    <t>HEAVY CREAM 40%</t>
  </si>
  <si>
    <t>MUSTARD DIJON</t>
  </si>
  <si>
    <t>MUSTARD YLW FRNCHS</t>
  </si>
  <si>
    <t>SALT</t>
  </si>
  <si>
    <t>SPINACH WRAP 12IN</t>
  </si>
  <si>
    <t>SPLENDA ENVELOPE</t>
  </si>
  <si>
    <t>SUGAR</t>
  </si>
  <si>
    <t>TOMATO WRAP 12IN</t>
  </si>
  <si>
    <t>VEGETABLE OIL</t>
  </si>
  <si>
    <t>35</t>
  </si>
  <si>
    <t>WHITE VINEGAR</t>
  </si>
  <si>
    <t>WHOLE WHEAT WRAP 12IN</t>
  </si>
  <si>
    <t>BLACK TEA</t>
  </si>
  <si>
    <t>RED QUINOA</t>
  </si>
  <si>
    <t>RICE VINEGAR</t>
  </si>
  <si>
    <t>SESAME OIL</t>
  </si>
  <si>
    <t>FLAXSEED</t>
  </si>
  <si>
    <t>100</t>
  </si>
  <si>
    <t>WHEAT GERM</t>
  </si>
  <si>
    <t>ALMOND BUTTER</t>
  </si>
  <si>
    <t xml:space="preserve">ALMONDS SLICED </t>
  </si>
  <si>
    <t>CHIA SEEDS</t>
  </si>
  <si>
    <t>CRANBERRIES</t>
  </si>
  <si>
    <t>HEMP SEEDS</t>
  </si>
  <si>
    <t>WALNUTS</t>
  </si>
  <si>
    <t>GRANOLA CHEFS QUALITY</t>
  </si>
  <si>
    <t>OATS ONE MINUTE</t>
  </si>
  <si>
    <t>PEANUT BUTTER</t>
  </si>
  <si>
    <t>PUMPKIN SEEDS</t>
  </si>
  <si>
    <t>SUNFLOWER SEEDS</t>
  </si>
  <si>
    <t>ALCOHOL HANDGEL</t>
  </si>
  <si>
    <t>09Paper</t>
  </si>
  <si>
    <t>CLOROX</t>
  </si>
  <si>
    <t>GARBAGE BAGS 50GAL</t>
  </si>
  <si>
    <t>PAPER TOWEL</t>
  </si>
  <si>
    <t>HANDSOAP</t>
  </si>
  <si>
    <t>LABELS SNACKS</t>
  </si>
  <si>
    <t>1.5OZ DRESSING CUPS</t>
  </si>
  <si>
    <t>1.5OZ DRESSING LIDS</t>
  </si>
  <si>
    <t>121</t>
  </si>
  <si>
    <t>4OZ TAPA CATERING</t>
  </si>
  <si>
    <t>8 OZ CUP PARFAIT</t>
  </si>
  <si>
    <t>SESAME SEEDS</t>
  </si>
  <si>
    <t>9OZ CUP WATER FOUNTAIN</t>
  </si>
  <si>
    <t>BAG 4X2X12 PORCIONAR</t>
  </si>
  <si>
    <t>BANDEJA PORTAVASOS</t>
  </si>
  <si>
    <t>BOLSAS 2 GALLON ZIPLOCK</t>
  </si>
  <si>
    <t>WRAPPED FORK</t>
  </si>
  <si>
    <t>COFFEE MIXERS</t>
  </si>
  <si>
    <t>DELIVERY BAGS</t>
  </si>
  <si>
    <t>DISH SOAP</t>
  </si>
  <si>
    <t>FILM PAPER 12"X2000</t>
  </si>
  <si>
    <t xml:space="preserve">HAIRNET </t>
  </si>
  <si>
    <t>PAPER BAG 6LB</t>
  </si>
  <si>
    <t>THANKYOU BAGS</t>
  </si>
  <si>
    <t>TOOTH STICKS SANDWICH FLAG</t>
  </si>
  <si>
    <t>KARAT 16OZ CUP</t>
  </si>
  <si>
    <t>KARAT CUP</t>
  </si>
  <si>
    <t>SEAL KARAT</t>
  </si>
  <si>
    <t>SPOON KARAT</t>
  </si>
  <si>
    <t>STRAW KARAT</t>
  </si>
  <si>
    <t>16OZ PLASTIC CUP OATS</t>
  </si>
  <si>
    <t>COFFEE CUP 12OZ</t>
  </si>
  <si>
    <t>COFFEE CUP 4OZ</t>
  </si>
  <si>
    <t>COFFEE CUP 8OZ</t>
  </si>
  <si>
    <t>DELI PAPER 12X12 WRAPS</t>
  </si>
  <si>
    <t>DELI PAPER 6X10 TOAST</t>
  </si>
  <si>
    <t>GLOVE VINYL NO POWDER L</t>
  </si>
  <si>
    <t>GLOVE VINYL NO POWDER M</t>
  </si>
  <si>
    <t>GLOVE VINYL NO POWDER S</t>
  </si>
  <si>
    <t>HANDPAPER TOWELS BATHROOM</t>
  </si>
  <si>
    <t>KIT FORK+KNIFE+NAPKIN</t>
  </si>
  <si>
    <t>LID COFFEE CUP 12OZ</t>
  </si>
  <si>
    <t>LID COFFEE CUP 4OZ</t>
  </si>
  <si>
    <t>LID COFFEE CUP 8OZ</t>
  </si>
  <si>
    <t>NAPKIN EXPRESS KRAFT</t>
  </si>
  <si>
    <t>PAPER ROLL CENTERPULL</t>
  </si>
  <si>
    <t>SLEEVES CUP 12OZ</t>
  </si>
  <si>
    <t>SLEEVES CUP 8OZ</t>
  </si>
  <si>
    <t>TOILET PAPER BATHROOM</t>
  </si>
  <si>
    <t>PRINTER PAPER</t>
  </si>
  <si>
    <t>7" SQUARE PLATE EAT IN</t>
  </si>
  <si>
    <t>BOWL SALAD ACAI</t>
  </si>
  <si>
    <t>LID BOWL SALAD ACAI</t>
  </si>
  <si>
    <t>12Snacks</t>
  </si>
  <si>
    <t>MULTIGRAIN CHIPS SMALL</t>
  </si>
  <si>
    <t>24</t>
  </si>
  <si>
    <t>QUINOA PUFF</t>
  </si>
  <si>
    <t>TERRA CHIPS</t>
  </si>
  <si>
    <t>CASHEW CLUSTERS</t>
  </si>
  <si>
    <t>DARK CHOC COCOALMONDS</t>
  </si>
  <si>
    <t>MULTIGRAIN CHIPS BIG</t>
  </si>
  <si>
    <t>ORGANIC AUSSIE BITES</t>
  </si>
  <si>
    <t>ACTIVATED CHARCOAL</t>
  </si>
  <si>
    <t>MATCHA</t>
  </si>
  <si>
    <t>TURMERIC POWDER</t>
  </si>
  <si>
    <t>WHEY PROTEIN</t>
  </si>
  <si>
    <t>MILK POWDER</t>
  </si>
  <si>
    <t>MILO</t>
  </si>
  <si>
    <t>PB2</t>
  </si>
  <si>
    <t>COCONUT FLAKES</t>
  </si>
  <si>
    <t>GOJI BERRIES</t>
  </si>
  <si>
    <t xml:space="preserve">CAYENNE PEPPER </t>
  </si>
  <si>
    <t>CINNAMON</t>
  </si>
  <si>
    <t>COCOA POWDER</t>
  </si>
  <si>
    <t>CACAO NIBS</t>
  </si>
  <si>
    <t>GUARANA POWDER</t>
  </si>
  <si>
    <t>MACA</t>
  </si>
  <si>
    <t>MORINGA</t>
  </si>
  <si>
    <t>SPIRULINA</t>
  </si>
  <si>
    <t xml:space="preserve">WHEATGRASS </t>
  </si>
  <si>
    <t>ALOE</t>
  </si>
  <si>
    <t>VEGAN PROTEIN</t>
  </si>
  <si>
    <t>GARBANZO BEANS</t>
  </si>
  <si>
    <t>GREEN BEANS</t>
  </si>
  <si>
    <t>TOMATO</t>
  </si>
  <si>
    <t>TOMATOES CHERRY</t>
  </si>
  <si>
    <t>AVOCADO</t>
  </si>
  <si>
    <t>BEETS</t>
  </si>
  <si>
    <t>25</t>
  </si>
  <si>
    <t>BELL PEPPERS</t>
  </si>
  <si>
    <t>BLACK BEANS</t>
  </si>
  <si>
    <t>BLACK OLIVES</t>
  </si>
  <si>
    <t>CARROT</t>
  </si>
  <si>
    <t>CELERY</t>
  </si>
  <si>
    <t>CILANTRO</t>
  </si>
  <si>
    <t>CORN</t>
  </si>
  <si>
    <t>CROUTONS</t>
  </si>
  <si>
    <t>CUCUMBER</t>
  </si>
  <si>
    <t>GARLIC CLOVES</t>
  </si>
  <si>
    <t>GINGER</t>
  </si>
  <si>
    <t>JALAPENO CAN</t>
  </si>
  <si>
    <t>KALE</t>
  </si>
  <si>
    <t>MUSHROOMS</t>
  </si>
  <si>
    <t>ORGANIC ARUGULA</t>
  </si>
  <si>
    <t>WHITE CHOCOLATE</t>
  </si>
  <si>
    <t>ORGANIC SPINACH</t>
  </si>
  <si>
    <t>ORGANIC SPRING MIX</t>
  </si>
  <si>
    <t>PICKELS</t>
  </si>
  <si>
    <t>RED ONIONS</t>
  </si>
  <si>
    <t>ROMAINE LETTUCE</t>
  </si>
  <si>
    <t>case</t>
  </si>
  <si>
    <t>YELLOW ONIONS</t>
  </si>
  <si>
    <t xml:space="preserve">JALAPENO </t>
  </si>
  <si>
    <t>TURMERIC</t>
  </si>
  <si>
    <t>MINT LEAVES</t>
  </si>
  <si>
    <t>FABULOSO</t>
  </si>
  <si>
    <t>BLK WATER</t>
  </si>
  <si>
    <t>IMPOSSIBLE BURGER</t>
  </si>
  <si>
    <t>BRIOCHE BREAD</t>
  </si>
  <si>
    <t>KETCHUP</t>
  </si>
  <si>
    <t>APPLE VINEGAR</t>
  </si>
  <si>
    <t>AGED GRAPE WHITE VINEGAR</t>
  </si>
  <si>
    <t>VEGAN MAYO</t>
  </si>
  <si>
    <t>WRAP 10"</t>
  </si>
  <si>
    <t>300</t>
  </si>
  <si>
    <t>500</t>
  </si>
  <si>
    <t>ALDI</t>
  </si>
  <si>
    <t>AMAZON</t>
  </si>
  <si>
    <t>64</t>
  </si>
  <si>
    <t>COSTCO</t>
  </si>
  <si>
    <t>27</t>
  </si>
  <si>
    <t>CRISPY ONIONS</t>
  </si>
  <si>
    <t>1.25</t>
  </si>
  <si>
    <t>17.99</t>
  </si>
  <si>
    <t>CVS</t>
  </si>
  <si>
    <t>ENZEK</t>
  </si>
  <si>
    <t>GLORIA</t>
  </si>
  <si>
    <t>JETRO</t>
  </si>
  <si>
    <t>COCONUT WATER 11oz</t>
  </si>
  <si>
    <t>WATER ZEPHYRHILLS 16.9</t>
  </si>
  <si>
    <t>3/4 OZ CUP COLADA</t>
  </si>
  <si>
    <t>4OZ CONTAINER CATERING</t>
  </si>
  <si>
    <t xml:space="preserve"> </t>
  </si>
  <si>
    <t>KARAT</t>
  </si>
  <si>
    <t>NATURADE</t>
  </si>
  <si>
    <t>NATURE'S FOODZ</t>
  </si>
  <si>
    <t>ONLINE LABELS</t>
  </si>
  <si>
    <t>PUBLIX</t>
  </si>
  <si>
    <t>SOMIANCE</t>
  </si>
  <si>
    <t>2500</t>
  </si>
  <si>
    <t>COFFEE INSERTS</t>
  </si>
  <si>
    <t>TO GO CONTAINER WRAP</t>
  </si>
  <si>
    <t>SYSCO</t>
  </si>
  <si>
    <t>MANTEQUILLAS</t>
  </si>
  <si>
    <t xml:space="preserve">SWISS CHEESE </t>
  </si>
  <si>
    <t>32</t>
  </si>
  <si>
    <t>60</t>
  </si>
  <si>
    <t>1.5</t>
  </si>
  <si>
    <t>1000</t>
  </si>
  <si>
    <t>CATERING TRAY 12"</t>
  </si>
  <si>
    <t>CATERING TRAY 18"</t>
  </si>
  <si>
    <t>12</t>
  </si>
  <si>
    <t>PLANTAINS CHIPS SMALL</t>
  </si>
  <si>
    <t>TROPICAL</t>
  </si>
  <si>
    <t>6</t>
  </si>
  <si>
    <t>UNFI</t>
  </si>
  <si>
    <t>19.99</t>
  </si>
  <si>
    <t>WHOLEFOODS</t>
  </si>
  <si>
    <t>ZAK</t>
  </si>
  <si>
    <t>ZUM X ORANGE</t>
  </si>
  <si>
    <t>id int NOT NULL AUTO_INCREMENT</t>
  </si>
  <si>
    <t>item varchar(50) NOT NULL</t>
  </si>
  <si>
    <t>store varchar(50) NOT NULL</t>
  </si>
  <si>
    <t>key</t>
  </si>
  <si>
    <t>category varchar(20)</t>
  </si>
  <si>
    <t>supplier varchar(20)</t>
  </si>
  <si>
    <t>toorder float</t>
  </si>
  <si>
    <t>obs text</t>
  </si>
  <si>
    <t>iteminventory float</t>
  </si>
  <si>
    <t>costpercase float</t>
  </si>
  <si>
    <t>qtypercase float</t>
  </si>
  <si>
    <t>caseunit varchar(10)</t>
  </si>
  <si>
    <t>itemcase varchar(20)</t>
  </si>
  <si>
    <t>inventorydate datetime NOT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</si>
</sst>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5" fillId="0" borderId="0" applyNumberFormat="0" applyFill="0" applyBorder="0" applyProtection="0">
      <alignment horizontal="left"/>
    </xf>
    <xf numFmtId="0" fontId="6" fillId="2" borderId="0" applyNumberFormat="0" applyFont="0" applyBorder="0" applyAlignment="0" applyProtection="0"/>
    <xf numFmtId="0" fontId="2" fillId="0" borderId="0"/>
    <xf numFmtId="164" fontId="2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4"/>
    <xf numFmtId="49" fontId="4" fillId="0" borderId="0" xfId="4" applyNumberFormat="1" applyFont="1" applyProtection="1">
      <protection locked="0"/>
    </xf>
    <xf numFmtId="0" fontId="7" fillId="3" borderId="0" xfId="4" applyFont="1" applyFill="1"/>
    <xf numFmtId="164" fontId="2" fillId="0" borderId="0" xfId="1" applyFont="1"/>
    <xf numFmtId="49" fontId="4" fillId="0" borderId="0" xfId="4" applyNumberFormat="1" applyFont="1" applyAlignment="1" applyProtection="1">
      <alignment horizontal="center"/>
      <protection locked="0"/>
    </xf>
    <xf numFmtId="0" fontId="7" fillId="3" borderId="1" xfId="4" applyFont="1" applyFill="1" applyBorder="1"/>
    <xf numFmtId="49" fontId="4" fillId="0" borderId="1" xfId="4" applyNumberFormat="1" applyFont="1" applyBorder="1" applyProtection="1">
      <protection locked="0"/>
    </xf>
    <xf numFmtId="164" fontId="4" fillId="0" borderId="1" xfId="1" applyFont="1" applyBorder="1" applyProtection="1">
      <protection locked="0"/>
    </xf>
    <xf numFmtId="164" fontId="4" fillId="0" borderId="1" xfId="5" applyFont="1" applyBorder="1" applyProtection="1">
      <protection locked="0"/>
    </xf>
    <xf numFmtId="0" fontId="2" fillId="0" borderId="1" xfId="4" applyBorder="1"/>
    <xf numFmtId="164" fontId="2" fillId="0" borderId="1" xfId="1" applyFont="1" applyBorder="1"/>
    <xf numFmtId="0" fontId="7" fillId="3" borderId="1" xfId="4" applyFont="1" applyFill="1" applyBorder="1" applyAlignment="1">
      <alignment horizontal="center"/>
    </xf>
    <xf numFmtId="49" fontId="4" fillId="0" borderId="1" xfId="4" applyNumberFormat="1" applyFont="1" applyBorder="1" applyAlignment="1" applyProtection="1">
      <alignment horizontal="center"/>
      <protection locked="0"/>
    </xf>
    <xf numFmtId="0" fontId="2" fillId="0" borderId="0" xfId="4" applyAlignment="1">
      <alignment horizontal="center"/>
    </xf>
    <xf numFmtId="0" fontId="1" fillId="0" borderId="0" xfId="4" applyFont="1"/>
  </cellXfs>
  <cellStyles count="6">
    <cellStyle name="Currency" xfId="1" builtinId="4"/>
    <cellStyle name="Currency 2" xfId="5" xr:uid="{00000000-0005-0000-0000-000001000000}"/>
    <cellStyle name="Item" xfId="2" xr:uid="{00000000-0005-0000-0000-000003000000}"/>
    <cellStyle name="Normal" xfId="0" builtinId="0"/>
    <cellStyle name="Normal 2" xfId="4" xr:uid="{00000000-0005-0000-0000-000005000000}"/>
    <cellStyle name="White Background" xfId="3" xr:uid="{00000000-0005-0000-0000-000007000000}"/>
  </cellStyles>
  <dxfs count="0"/>
  <tableStyles count="0" defaultTableStyle="TableStyleMedium9" defaultPivotStyle="PivotStyleLight16"/>
  <colors>
    <mruColors>
      <color rgb="FFEAF1DD"/>
      <color rgb="FFDBE5F1"/>
      <color rgb="FF09B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stownr.sharepoint.com/RO/RO.COM%20Works%20in%20Progress/Recipe%20Templates/Product%20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arir/Desktop/Inventory%20List%20PURPLE%20ORCH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Master"/>
      <sheetName val="Lists"/>
      <sheetName val="Used"/>
    </sheetNames>
    <sheetDataSet>
      <sheetData sheetId="0" refreshError="1"/>
      <sheetData sheetId="1">
        <row r="7">
          <cell r="C7" t="str">
            <v>bag</v>
          </cell>
        </row>
        <row r="8">
          <cell r="C8" t="str">
            <v>bib</v>
          </cell>
        </row>
        <row r="9">
          <cell r="C9" t="str">
            <v>bottle</v>
          </cell>
        </row>
        <row r="10">
          <cell r="C10" t="str">
            <v>box</v>
          </cell>
        </row>
        <row r="11">
          <cell r="C11" t="str">
            <v>bunch</v>
          </cell>
        </row>
        <row r="12">
          <cell r="C12" t="str">
            <v>can</v>
          </cell>
        </row>
        <row r="13">
          <cell r="C13" t="str">
            <v>carton</v>
          </cell>
        </row>
        <row r="14">
          <cell r="C14" t="str">
            <v>case</v>
          </cell>
        </row>
        <row r="15">
          <cell r="C15" t="str">
            <v>dozen</v>
          </cell>
        </row>
        <row r="16">
          <cell r="C16" t="str">
            <v xml:space="preserve">each </v>
          </cell>
        </row>
        <row r="17">
          <cell r="C17" t="str">
            <v>gallon</v>
          </cell>
        </row>
        <row r="18">
          <cell r="C18" t="str">
            <v>half gallon</v>
          </cell>
        </row>
        <row r="19">
          <cell r="C19" t="str">
            <v>jar</v>
          </cell>
        </row>
        <row r="20">
          <cell r="C20" t="str">
            <v>keg</v>
          </cell>
        </row>
        <row r="21">
          <cell r="C21" t="str">
            <v>liter</v>
          </cell>
        </row>
        <row r="22">
          <cell r="C22" t="str">
            <v>portion</v>
          </cell>
        </row>
        <row r="23">
          <cell r="C23" t="str">
            <v xml:space="preserve">pound </v>
          </cell>
        </row>
        <row r="24">
          <cell r="C24" t="str">
            <v>quart</v>
          </cell>
        </row>
        <row r="25">
          <cell r="C25" t="str">
            <v>tub</v>
          </cell>
        </row>
        <row r="26">
          <cell r="C26" t="str">
            <v>wt oz</v>
          </cell>
        </row>
        <row r="27">
          <cell r="C27" t="str">
            <v>* not used *</v>
          </cell>
        </row>
        <row r="28">
          <cell r="C28" t="str">
            <v>* not used *</v>
          </cell>
        </row>
        <row r="29">
          <cell r="C29" t="str">
            <v>* not used *</v>
          </cell>
        </row>
        <row r="30">
          <cell r="C30" t="str">
            <v>* not used *</v>
          </cell>
        </row>
        <row r="31">
          <cell r="C31" t="str">
            <v>* not used *</v>
          </cell>
        </row>
        <row r="32">
          <cell r="C32" t="str">
            <v>* not used *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cery List"/>
      <sheetName val="INVENTORY"/>
      <sheetName val="TO ORDER"/>
      <sheetName val="calculations"/>
      <sheetName val="Inventory List PURPLE ORCHID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/>
    <pageSetUpPr fitToPage="1"/>
  </sheetPr>
  <dimension ref="A2:U234"/>
  <sheetViews>
    <sheetView tabSelected="1" topLeftCell="E1" zoomScale="129" zoomScaleNormal="129" workbookViewId="0">
      <selection activeCell="L3" sqref="L3"/>
    </sheetView>
  </sheetViews>
  <sheetFormatPr defaultColWidth="31" defaultRowHeight="15" x14ac:dyDescent="0.25"/>
  <cols>
    <col min="1" max="1" width="32.7109375" style="1" bestFit="1" customWidth="1"/>
    <col min="2" max="2" width="32.140625" style="1" bestFit="1" customWidth="1"/>
    <col min="3" max="3" width="26" style="1" bestFit="1" customWidth="1"/>
    <col min="4" max="4" width="26.5703125" style="1" bestFit="1" customWidth="1"/>
    <col min="5" max="5" width="18.5703125" style="14" bestFit="1" customWidth="1"/>
    <col min="6" max="6" width="19.7109375" style="1" bestFit="1" customWidth="1"/>
    <col min="7" max="7" width="16.140625" style="4" bestFit="1" customWidth="1"/>
    <col min="8" max="8" width="19.140625" style="1" bestFit="1" customWidth="1"/>
    <col min="9" max="9" width="15.42578125" style="1" bestFit="1" customWidth="1"/>
    <col min="10" max="10" width="19.42578125" style="1" bestFit="1" customWidth="1"/>
    <col min="11" max="11" width="19" style="1" bestFit="1" customWidth="1"/>
    <col min="12" max="12" width="12.28515625" style="1" bestFit="1" customWidth="1"/>
    <col min="13" max="13" width="8.28515625" style="1" bestFit="1" customWidth="1"/>
    <col min="14" max="16384" width="31" style="1"/>
  </cols>
  <sheetData>
    <row r="2" spans="1:21" x14ac:dyDescent="0.25">
      <c r="A2" s="15" t="s">
        <v>310</v>
      </c>
      <c r="B2" s="15"/>
      <c r="C2" s="15"/>
    </row>
    <row r="3" spans="1:21" x14ac:dyDescent="0.25">
      <c r="A3" s="6" t="s">
        <v>307</v>
      </c>
      <c r="B3" s="6" t="s">
        <v>320</v>
      </c>
      <c r="C3" s="6" t="s">
        <v>309</v>
      </c>
      <c r="D3" s="6" t="s">
        <v>308</v>
      </c>
      <c r="E3" s="12" t="s">
        <v>315</v>
      </c>
      <c r="F3" s="6" t="s">
        <v>319</v>
      </c>
      <c r="G3" s="12" t="s">
        <v>316</v>
      </c>
      <c r="H3" s="6" t="s">
        <v>318</v>
      </c>
      <c r="I3" s="6" t="s">
        <v>317</v>
      </c>
      <c r="J3" s="6" t="s">
        <v>311</v>
      </c>
      <c r="K3" s="6" t="s">
        <v>312</v>
      </c>
      <c r="L3" s="12" t="s">
        <v>313</v>
      </c>
      <c r="M3" s="6" t="s">
        <v>314</v>
      </c>
      <c r="N3" s="3"/>
      <c r="O3" s="3"/>
      <c r="P3" s="3"/>
      <c r="Q3" s="3"/>
      <c r="R3" s="3"/>
      <c r="S3" s="2"/>
      <c r="T3" s="2"/>
      <c r="U3" s="2"/>
    </row>
    <row r="4" spans="1:21" x14ac:dyDescent="0.25">
      <c r="D4" s="7" t="s">
        <v>255</v>
      </c>
      <c r="E4" s="7" t="s">
        <v>1</v>
      </c>
      <c r="F4" s="7" t="s">
        <v>21</v>
      </c>
      <c r="G4" s="8">
        <v>2.5</v>
      </c>
      <c r="H4" s="7" t="s">
        <v>3</v>
      </c>
      <c r="I4" s="7">
        <v>4</v>
      </c>
      <c r="J4" s="7" t="s">
        <v>4</v>
      </c>
      <c r="K4" s="7" t="s">
        <v>263</v>
      </c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x14ac:dyDescent="0.25">
      <c r="D5" s="7" t="s">
        <v>106</v>
      </c>
      <c r="E5" s="13" t="s">
        <v>1</v>
      </c>
      <c r="F5" s="7" t="s">
        <v>91</v>
      </c>
      <c r="G5" s="8">
        <v>5</v>
      </c>
      <c r="H5" s="7" t="s">
        <v>8</v>
      </c>
      <c r="I5" s="7">
        <v>33</v>
      </c>
      <c r="J5" s="7" t="s">
        <v>9</v>
      </c>
      <c r="K5" s="7" t="s">
        <v>263</v>
      </c>
      <c r="L5" s="7"/>
      <c r="M5" s="2"/>
      <c r="N5" s="2"/>
      <c r="O5" s="2"/>
      <c r="P5" s="2"/>
      <c r="Q5" s="2"/>
      <c r="R5" s="2"/>
      <c r="S5" s="2"/>
      <c r="T5" s="2"/>
      <c r="U5" s="2"/>
    </row>
    <row r="6" spans="1:21" x14ac:dyDescent="0.25">
      <c r="D6" s="7" t="s">
        <v>199</v>
      </c>
      <c r="E6" s="7" t="s">
        <v>1</v>
      </c>
      <c r="F6" s="7" t="s">
        <v>19</v>
      </c>
      <c r="G6" s="8">
        <v>17.989999999999998</v>
      </c>
      <c r="H6" s="7" t="s">
        <v>8</v>
      </c>
      <c r="I6" s="7">
        <v>10</v>
      </c>
      <c r="J6" s="7" t="s">
        <v>63</v>
      </c>
      <c r="K6" s="7" t="s">
        <v>264</v>
      </c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x14ac:dyDescent="0.25">
      <c r="D7" s="7" t="s">
        <v>210</v>
      </c>
      <c r="E7" s="7" t="s">
        <v>1</v>
      </c>
      <c r="F7" s="7" t="s">
        <v>33</v>
      </c>
      <c r="G7" s="8">
        <v>18.55</v>
      </c>
      <c r="H7" s="7" t="s">
        <v>13</v>
      </c>
      <c r="I7" s="7">
        <v>23</v>
      </c>
      <c r="J7" s="7" t="s">
        <v>63</v>
      </c>
      <c r="K7" s="7" t="s">
        <v>264</v>
      </c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x14ac:dyDescent="0.25">
      <c r="D8" s="7" t="s">
        <v>92</v>
      </c>
      <c r="E8" s="7" t="s">
        <v>1</v>
      </c>
      <c r="F8" s="7" t="s">
        <v>62</v>
      </c>
      <c r="G8" s="8">
        <v>7.78</v>
      </c>
      <c r="H8" s="7" t="s">
        <v>13</v>
      </c>
      <c r="I8" s="7">
        <v>10</v>
      </c>
      <c r="J8" s="7" t="s">
        <v>63</v>
      </c>
      <c r="K8" s="7" t="s">
        <v>264</v>
      </c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x14ac:dyDescent="0.25">
      <c r="D9" s="9" t="s">
        <v>207</v>
      </c>
      <c r="E9" s="7" t="s">
        <v>1</v>
      </c>
      <c r="F9" s="7" t="s">
        <v>12</v>
      </c>
      <c r="G9" s="8">
        <v>14.99</v>
      </c>
      <c r="H9" s="7" t="s">
        <v>13</v>
      </c>
      <c r="I9" s="7">
        <v>16</v>
      </c>
      <c r="J9" s="7" t="s">
        <v>63</v>
      </c>
      <c r="K9" s="7" t="s">
        <v>264</v>
      </c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x14ac:dyDescent="0.25">
      <c r="D10" s="7" t="s">
        <v>212</v>
      </c>
      <c r="E10" s="7" t="s">
        <v>1</v>
      </c>
      <c r="F10" s="7" t="s">
        <v>12</v>
      </c>
      <c r="G10" s="8">
        <v>20.99</v>
      </c>
      <c r="H10" s="7" t="s">
        <v>13</v>
      </c>
      <c r="I10" s="7">
        <v>16</v>
      </c>
      <c r="J10" s="7" t="s">
        <v>63</v>
      </c>
      <c r="K10" s="7" t="s">
        <v>264</v>
      </c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x14ac:dyDescent="0.25">
      <c r="D11" s="7" t="s">
        <v>213</v>
      </c>
      <c r="E11" s="7" t="s">
        <v>1</v>
      </c>
      <c r="F11" s="7" t="s">
        <v>62</v>
      </c>
      <c r="G11" s="8"/>
      <c r="H11" s="7"/>
      <c r="I11" s="7"/>
      <c r="J11" s="7" t="s">
        <v>63</v>
      </c>
      <c r="K11" s="7" t="s">
        <v>264</v>
      </c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x14ac:dyDescent="0.25">
      <c r="D12" s="7" t="s">
        <v>214</v>
      </c>
      <c r="E12" s="7" t="s">
        <v>1</v>
      </c>
      <c r="F12" s="7" t="s">
        <v>62</v>
      </c>
      <c r="G12" s="8"/>
      <c r="H12" s="7"/>
      <c r="I12" s="7"/>
      <c r="J12" s="7" t="s">
        <v>63</v>
      </c>
      <c r="K12" s="7" t="s">
        <v>264</v>
      </c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x14ac:dyDescent="0.25">
      <c r="D13" s="7" t="s">
        <v>215</v>
      </c>
      <c r="E13" s="7" t="s">
        <v>1</v>
      </c>
      <c r="F13" s="7" t="s">
        <v>12</v>
      </c>
      <c r="G13" s="8">
        <v>17</v>
      </c>
      <c r="H13" s="7" t="s">
        <v>13</v>
      </c>
      <c r="I13" s="7">
        <v>16</v>
      </c>
      <c r="J13" s="7" t="s">
        <v>63</v>
      </c>
      <c r="K13" s="7" t="s">
        <v>264</v>
      </c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x14ac:dyDescent="0.25">
      <c r="D14" s="7" t="s">
        <v>201</v>
      </c>
      <c r="E14" s="7" t="s">
        <v>1</v>
      </c>
      <c r="F14" s="7" t="s">
        <v>62</v>
      </c>
      <c r="G14" s="8">
        <v>10.99</v>
      </c>
      <c r="H14" s="7"/>
      <c r="I14" s="7"/>
      <c r="J14" s="7" t="s">
        <v>63</v>
      </c>
      <c r="K14" s="7" t="s">
        <v>264</v>
      </c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x14ac:dyDescent="0.25">
      <c r="D15" s="7" t="s">
        <v>124</v>
      </c>
      <c r="E15" s="7" t="s">
        <v>1</v>
      </c>
      <c r="F15" s="7" t="s">
        <v>19</v>
      </c>
      <c r="G15" s="8">
        <v>6.25</v>
      </c>
      <c r="H15" s="7"/>
      <c r="I15" s="7"/>
      <c r="J15" s="7" t="s">
        <v>63</v>
      </c>
      <c r="K15" s="7" t="s">
        <v>264</v>
      </c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x14ac:dyDescent="0.25">
      <c r="D16" s="7" t="s">
        <v>216</v>
      </c>
      <c r="E16" s="7" t="s">
        <v>1</v>
      </c>
      <c r="F16" s="7" t="s">
        <v>12</v>
      </c>
      <c r="G16" s="8">
        <v>16</v>
      </c>
      <c r="H16" s="7" t="s">
        <v>13</v>
      </c>
      <c r="I16" s="7">
        <v>16</v>
      </c>
      <c r="J16" s="7" t="s">
        <v>63</v>
      </c>
      <c r="K16" s="7" t="s">
        <v>264</v>
      </c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4:21" x14ac:dyDescent="0.25">
      <c r="D17" s="7" t="s">
        <v>202</v>
      </c>
      <c r="E17" s="7" t="s">
        <v>1</v>
      </c>
      <c r="F17" s="7" t="s">
        <v>19</v>
      </c>
      <c r="G17" s="8">
        <v>44.99</v>
      </c>
      <c r="H17" s="7" t="s">
        <v>13</v>
      </c>
      <c r="I17" s="7">
        <v>80</v>
      </c>
      <c r="J17" s="7" t="s">
        <v>63</v>
      </c>
      <c r="K17" s="7" t="s">
        <v>264</v>
      </c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4:21" x14ac:dyDescent="0.25">
      <c r="D18" s="7" t="s">
        <v>193</v>
      </c>
      <c r="E18" s="7" t="s">
        <v>1</v>
      </c>
      <c r="F18" s="7" t="s">
        <v>62</v>
      </c>
      <c r="G18" s="8">
        <v>7.99</v>
      </c>
      <c r="H18" s="7"/>
      <c r="I18" s="7"/>
      <c r="J18" s="7" t="s">
        <v>63</v>
      </c>
      <c r="K18" s="7" t="s">
        <v>264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4:21" x14ac:dyDescent="0.25">
      <c r="D19" s="7" t="s">
        <v>136</v>
      </c>
      <c r="E19" s="7" t="s">
        <v>1</v>
      </c>
      <c r="F19" s="7" t="s">
        <v>19</v>
      </c>
      <c r="G19" s="8">
        <v>17</v>
      </c>
      <c r="H19" s="7" t="s">
        <v>8</v>
      </c>
      <c r="I19" s="7" t="s">
        <v>265</v>
      </c>
      <c r="J19" s="7" t="s">
        <v>137</v>
      </c>
      <c r="K19" s="7" t="s">
        <v>264</v>
      </c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4:21" x14ac:dyDescent="0.25">
      <c r="D20" s="7" t="s">
        <v>200</v>
      </c>
      <c r="E20" s="7" t="s">
        <v>1</v>
      </c>
      <c r="F20" s="7" t="s">
        <v>62</v>
      </c>
      <c r="G20" s="8">
        <v>14.99</v>
      </c>
      <c r="H20" s="7"/>
      <c r="I20" s="7"/>
      <c r="J20" s="7" t="s">
        <v>57</v>
      </c>
      <c r="K20" s="7" t="s">
        <v>264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4:21" x14ac:dyDescent="0.25">
      <c r="D21" s="7" t="s">
        <v>241</v>
      </c>
      <c r="E21" s="7" t="s">
        <v>1</v>
      </c>
      <c r="F21" s="7" t="s">
        <v>47</v>
      </c>
      <c r="G21" s="8">
        <v>18.98</v>
      </c>
      <c r="H21" s="7" t="s">
        <v>13</v>
      </c>
      <c r="I21" s="7">
        <v>50</v>
      </c>
      <c r="J21" s="7" t="s">
        <v>190</v>
      </c>
      <c r="K21" s="7" t="s">
        <v>264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4:21" x14ac:dyDescent="0.25">
      <c r="D22" s="7" t="s">
        <v>20</v>
      </c>
      <c r="E22" s="13" t="s">
        <v>1</v>
      </c>
      <c r="F22" s="7" t="s">
        <v>21</v>
      </c>
      <c r="G22" s="8">
        <v>5.99</v>
      </c>
      <c r="H22" s="7" t="s">
        <v>13</v>
      </c>
      <c r="I22" s="7">
        <v>32</v>
      </c>
      <c r="J22" s="7" t="s">
        <v>9</v>
      </c>
      <c r="K22" s="7" t="s">
        <v>266</v>
      </c>
      <c r="L22" s="7"/>
      <c r="M22" s="2"/>
      <c r="N22" s="2"/>
      <c r="O22" s="2"/>
      <c r="P22" s="2"/>
      <c r="Q22" s="2"/>
      <c r="R22" s="2"/>
      <c r="S22" s="2"/>
      <c r="T22" s="2"/>
      <c r="U22" s="2"/>
    </row>
    <row r="23" spans="4:21" x14ac:dyDescent="0.25">
      <c r="D23" s="7" t="s">
        <v>93</v>
      </c>
      <c r="E23" s="7" t="s">
        <v>1</v>
      </c>
      <c r="F23" s="7" t="s">
        <v>21</v>
      </c>
      <c r="G23" s="8">
        <v>8.99</v>
      </c>
      <c r="H23" s="7" t="s">
        <v>8</v>
      </c>
      <c r="I23" s="7">
        <f>36*2</f>
        <v>72</v>
      </c>
      <c r="J23" s="7" t="s">
        <v>63</v>
      </c>
      <c r="K23" s="7" t="s">
        <v>266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4:21" x14ac:dyDescent="0.25">
      <c r="D24" s="7" t="s">
        <v>125</v>
      </c>
      <c r="E24" s="7" t="s">
        <v>1</v>
      </c>
      <c r="F24" s="7" t="s">
        <v>19</v>
      </c>
      <c r="G24" s="8">
        <v>9.99</v>
      </c>
      <c r="H24" s="7" t="s">
        <v>13</v>
      </c>
      <c r="I24" s="7" t="s">
        <v>267</v>
      </c>
      <c r="J24" s="7" t="s">
        <v>63</v>
      </c>
      <c r="K24" s="7" t="s">
        <v>266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4:21" x14ac:dyDescent="0.25">
      <c r="D25" s="7" t="s">
        <v>6</v>
      </c>
      <c r="E25" s="7" t="s">
        <v>1</v>
      </c>
      <c r="F25" s="7" t="s">
        <v>7</v>
      </c>
      <c r="G25" s="8">
        <v>7.49</v>
      </c>
      <c r="H25" s="7" t="s">
        <v>8</v>
      </c>
      <c r="I25" s="7">
        <f>M25/30</f>
        <v>0</v>
      </c>
      <c r="J25" s="7" t="s">
        <v>63</v>
      </c>
      <c r="K25" s="7" t="s">
        <v>266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4:21" x14ac:dyDescent="0.25">
      <c r="D26" s="7" t="s">
        <v>126</v>
      </c>
      <c r="E26" s="7" t="s">
        <v>1</v>
      </c>
      <c r="F26" s="7" t="s">
        <v>62</v>
      </c>
      <c r="G26" s="8">
        <v>7.99</v>
      </c>
      <c r="H26" s="7" t="s">
        <v>13</v>
      </c>
      <c r="I26" s="7">
        <v>32</v>
      </c>
      <c r="J26" s="7" t="s">
        <v>63</v>
      </c>
      <c r="K26" s="7" t="s">
        <v>266</v>
      </c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4:21" x14ac:dyDescent="0.25">
      <c r="D27" s="7" t="s">
        <v>208</v>
      </c>
      <c r="E27" s="7" t="s">
        <v>1</v>
      </c>
      <c r="F27" s="7" t="s">
        <v>12</v>
      </c>
      <c r="G27" s="8">
        <f>13.49/5</f>
        <v>2.698</v>
      </c>
      <c r="H27" s="7" t="s">
        <v>13</v>
      </c>
      <c r="I27" s="7">
        <v>16</v>
      </c>
      <c r="J27" s="7" t="s">
        <v>63</v>
      </c>
      <c r="K27" s="7" t="s">
        <v>266</v>
      </c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4:21" x14ac:dyDescent="0.25">
      <c r="D28" s="7" t="s">
        <v>127</v>
      </c>
      <c r="E28" s="7" t="s">
        <v>1</v>
      </c>
      <c r="F28" s="7" t="s">
        <v>62</v>
      </c>
      <c r="G28" s="8">
        <v>6.89</v>
      </c>
      <c r="H28" s="7" t="s">
        <v>13</v>
      </c>
      <c r="I28" s="7">
        <v>32</v>
      </c>
      <c r="J28" s="7" t="s">
        <v>63</v>
      </c>
      <c r="K28" s="7" t="s">
        <v>266</v>
      </c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4:21" x14ac:dyDescent="0.25">
      <c r="D29" s="7" t="s">
        <v>209</v>
      </c>
      <c r="E29" s="7" t="s">
        <v>1</v>
      </c>
      <c r="F29" s="7" t="s">
        <v>12</v>
      </c>
      <c r="G29" s="8">
        <f>14.99/5</f>
        <v>2.9980000000000002</v>
      </c>
      <c r="H29" s="7" t="s">
        <v>13</v>
      </c>
      <c r="I29" s="7">
        <v>16</v>
      </c>
      <c r="J29" s="7" t="s">
        <v>63</v>
      </c>
      <c r="K29" s="7" t="s">
        <v>266</v>
      </c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4:21" x14ac:dyDescent="0.25">
      <c r="D30" s="7" t="s">
        <v>128</v>
      </c>
      <c r="E30" s="7" t="s">
        <v>1</v>
      </c>
      <c r="F30" s="7" t="s">
        <v>62</v>
      </c>
      <c r="G30" s="8">
        <v>8.89</v>
      </c>
      <c r="H30" s="7" t="s">
        <v>13</v>
      </c>
      <c r="I30" s="7">
        <f>4*16</f>
        <v>64</v>
      </c>
      <c r="J30" s="7" t="s">
        <v>63</v>
      </c>
      <c r="K30" s="7" t="s">
        <v>266</v>
      </c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4:21" x14ac:dyDescent="0.25">
      <c r="D31" s="7" t="s">
        <v>233</v>
      </c>
      <c r="E31" s="7" t="s">
        <v>1</v>
      </c>
      <c r="F31" s="7" t="s">
        <v>62</v>
      </c>
      <c r="G31" s="8">
        <v>8.59</v>
      </c>
      <c r="H31" s="7"/>
      <c r="I31" s="7"/>
      <c r="J31" s="7" t="s">
        <v>63</v>
      </c>
      <c r="K31" s="7" t="s">
        <v>266</v>
      </c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4:21" x14ac:dyDescent="0.25">
      <c r="D32" s="7" t="s">
        <v>61</v>
      </c>
      <c r="E32" s="7" t="s">
        <v>1</v>
      </c>
      <c r="F32" s="7" t="s">
        <v>62</v>
      </c>
      <c r="G32" s="8">
        <v>9.99</v>
      </c>
      <c r="H32" s="7" t="s">
        <v>3</v>
      </c>
      <c r="I32" s="7">
        <v>70</v>
      </c>
      <c r="J32" s="7" t="s">
        <v>63</v>
      </c>
      <c r="K32" s="7" t="s">
        <v>266</v>
      </c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4:21" x14ac:dyDescent="0.25">
      <c r="D33" s="7" t="s">
        <v>122</v>
      </c>
      <c r="E33" s="7" t="s">
        <v>1</v>
      </c>
      <c r="F33" s="7" t="s">
        <v>62</v>
      </c>
      <c r="G33" s="8">
        <v>14.99</v>
      </c>
      <c r="H33" s="7" t="s">
        <v>3</v>
      </c>
      <c r="I33" s="7">
        <v>48</v>
      </c>
      <c r="J33" s="7" t="s">
        <v>63</v>
      </c>
      <c r="K33" s="7" t="s">
        <v>266</v>
      </c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4:21" x14ac:dyDescent="0.25">
      <c r="D34" s="7" t="s">
        <v>219</v>
      </c>
      <c r="E34" s="7" t="s">
        <v>1</v>
      </c>
      <c r="F34" s="7" t="s">
        <v>7</v>
      </c>
      <c r="G34" s="8">
        <v>6.79</v>
      </c>
      <c r="H34" s="7"/>
      <c r="I34" s="7"/>
      <c r="J34" s="7" t="s">
        <v>63</v>
      </c>
      <c r="K34" s="7" t="s">
        <v>266</v>
      </c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4:21" x14ac:dyDescent="0.25">
      <c r="D35" s="7" t="s">
        <v>220</v>
      </c>
      <c r="E35" s="7" t="s">
        <v>1</v>
      </c>
      <c r="F35" s="7" t="s">
        <v>7</v>
      </c>
      <c r="G35" s="8">
        <v>7.39</v>
      </c>
      <c r="H35" s="7"/>
      <c r="I35" s="7"/>
      <c r="J35" s="7" t="s">
        <v>63</v>
      </c>
      <c r="K35" s="7" t="s">
        <v>266</v>
      </c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4:21" x14ac:dyDescent="0.25">
      <c r="D36" s="7" t="s">
        <v>129</v>
      </c>
      <c r="E36" s="7" t="s">
        <v>1</v>
      </c>
      <c r="F36" s="7" t="s">
        <v>62</v>
      </c>
      <c r="G36" s="8">
        <v>11.99</v>
      </c>
      <c r="H36" s="7" t="s">
        <v>13</v>
      </c>
      <c r="I36" s="7">
        <v>8</v>
      </c>
      <c r="J36" s="7" t="s">
        <v>63</v>
      </c>
      <c r="K36" s="7" t="s">
        <v>266</v>
      </c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4:21" x14ac:dyDescent="0.25">
      <c r="D37" s="7" t="s">
        <v>97</v>
      </c>
      <c r="E37" s="7" t="s">
        <v>1</v>
      </c>
      <c r="F37" s="7" t="s">
        <v>19</v>
      </c>
      <c r="G37" s="8">
        <v>12.49</v>
      </c>
      <c r="H37" s="7" t="s">
        <v>8</v>
      </c>
      <c r="I37" s="7">
        <v>80</v>
      </c>
      <c r="J37" s="7" t="s">
        <v>63</v>
      </c>
      <c r="K37" s="7" t="s">
        <v>266</v>
      </c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4:21" x14ac:dyDescent="0.25">
      <c r="D38" s="7" t="s">
        <v>256</v>
      </c>
      <c r="E38" s="7" t="s">
        <v>1</v>
      </c>
      <c r="F38" s="7" t="s">
        <v>19</v>
      </c>
      <c r="G38" s="8">
        <v>6</v>
      </c>
      <c r="H38" s="7" t="s">
        <v>8</v>
      </c>
      <c r="I38" s="7">
        <v>114</v>
      </c>
      <c r="J38" s="7" t="s">
        <v>63</v>
      </c>
      <c r="K38" s="7" t="s">
        <v>266</v>
      </c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4:21" x14ac:dyDescent="0.25">
      <c r="D39" s="7" t="s">
        <v>203</v>
      </c>
      <c r="E39" s="7" t="s">
        <v>1</v>
      </c>
      <c r="F39" s="7" t="s">
        <v>47</v>
      </c>
      <c r="G39" s="8"/>
      <c r="H39" s="7"/>
      <c r="I39" s="7"/>
      <c r="J39" s="7" t="s">
        <v>63</v>
      </c>
      <c r="K39" s="7" t="s">
        <v>266</v>
      </c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4:21" x14ac:dyDescent="0.25">
      <c r="D40" s="7" t="s">
        <v>205</v>
      </c>
      <c r="E40" s="7" t="s">
        <v>1</v>
      </c>
      <c r="F40" s="7" t="s">
        <v>21</v>
      </c>
      <c r="G40" s="8">
        <v>12.69</v>
      </c>
      <c r="H40" s="7"/>
      <c r="I40" s="7"/>
      <c r="J40" s="7" t="s">
        <v>63</v>
      </c>
      <c r="K40" s="7" t="s">
        <v>266</v>
      </c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4:21" x14ac:dyDescent="0.25">
      <c r="D41" s="7" t="s">
        <v>98</v>
      </c>
      <c r="E41" s="7" t="s">
        <v>1</v>
      </c>
      <c r="F41" s="7" t="s">
        <v>19</v>
      </c>
      <c r="G41" s="8">
        <v>7.99</v>
      </c>
      <c r="H41" s="7" t="s">
        <v>13</v>
      </c>
      <c r="I41" s="7">
        <v>22</v>
      </c>
      <c r="J41" s="7" t="s">
        <v>63</v>
      </c>
      <c r="K41" s="7" t="s">
        <v>266</v>
      </c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4:21" x14ac:dyDescent="0.25">
      <c r="D42" s="7" t="s">
        <v>109</v>
      </c>
      <c r="E42" s="7" t="s">
        <v>1</v>
      </c>
      <c r="F42" s="7" t="s">
        <v>12</v>
      </c>
      <c r="G42" s="8">
        <v>1.5</v>
      </c>
      <c r="H42" s="7" t="s">
        <v>8</v>
      </c>
      <c r="I42" s="7">
        <v>16</v>
      </c>
      <c r="J42" s="7" t="s">
        <v>63</v>
      </c>
      <c r="K42" s="7" t="s">
        <v>266</v>
      </c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4:21" x14ac:dyDescent="0.25">
      <c r="D43" s="7" t="s">
        <v>25</v>
      </c>
      <c r="E43" s="7" t="s">
        <v>1</v>
      </c>
      <c r="F43" s="7" t="s">
        <v>91</v>
      </c>
      <c r="G43" s="8">
        <v>1</v>
      </c>
      <c r="H43" s="7" t="s">
        <v>8</v>
      </c>
      <c r="I43" s="7">
        <v>32</v>
      </c>
      <c r="J43" s="7" t="s">
        <v>63</v>
      </c>
      <c r="K43" s="7" t="s">
        <v>266</v>
      </c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4:21" x14ac:dyDescent="0.25">
      <c r="D44" s="7" t="s">
        <v>112</v>
      </c>
      <c r="E44" s="7" t="s">
        <v>66</v>
      </c>
      <c r="F44" s="7" t="s">
        <v>12</v>
      </c>
      <c r="G44" s="8">
        <v>2.39</v>
      </c>
      <c r="H44" s="7" t="s">
        <v>13</v>
      </c>
      <c r="I44" s="7">
        <f>16*4</f>
        <v>64</v>
      </c>
      <c r="J44" s="7" t="s">
        <v>63</v>
      </c>
      <c r="K44" s="7" t="s">
        <v>266</v>
      </c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4:21" x14ac:dyDescent="0.25">
      <c r="D45" s="7" t="s">
        <v>130</v>
      </c>
      <c r="E45" s="7" t="s">
        <v>1</v>
      </c>
      <c r="F45" s="7" t="s">
        <v>62</v>
      </c>
      <c r="G45" s="8">
        <v>14.99</v>
      </c>
      <c r="H45" s="7" t="s">
        <v>13</v>
      </c>
      <c r="I45" s="7">
        <v>28</v>
      </c>
      <c r="J45" s="7" t="s">
        <v>63</v>
      </c>
      <c r="K45" s="7" t="s">
        <v>266</v>
      </c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4:21" x14ac:dyDescent="0.25">
      <c r="D46" s="7" t="s">
        <v>268</v>
      </c>
      <c r="E46" s="7" t="s">
        <v>1</v>
      </c>
      <c r="F46" s="7" t="s">
        <v>21</v>
      </c>
      <c r="G46" s="11"/>
      <c r="H46" s="10"/>
      <c r="I46" s="10"/>
      <c r="J46" s="7" t="s">
        <v>63</v>
      </c>
      <c r="K46" s="7" t="s">
        <v>266</v>
      </c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4:21" x14ac:dyDescent="0.25">
      <c r="D47" s="9" t="s">
        <v>10</v>
      </c>
      <c r="E47" s="7" t="s">
        <v>269</v>
      </c>
      <c r="F47" s="7" t="s">
        <v>12</v>
      </c>
      <c r="G47" s="8">
        <v>10.99</v>
      </c>
      <c r="H47" s="7" t="s">
        <v>13</v>
      </c>
      <c r="I47" s="7">
        <v>20</v>
      </c>
      <c r="J47" s="7" t="s">
        <v>14</v>
      </c>
      <c r="K47" s="7" t="s">
        <v>266</v>
      </c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4:21" x14ac:dyDescent="0.25">
      <c r="D48" s="7" t="s">
        <v>26</v>
      </c>
      <c r="E48" s="7" t="s">
        <v>1</v>
      </c>
      <c r="F48" s="7" t="s">
        <v>7</v>
      </c>
      <c r="G48" s="8">
        <v>9.99</v>
      </c>
      <c r="H48" s="7" t="s">
        <v>3</v>
      </c>
      <c r="I48" s="7">
        <v>42</v>
      </c>
      <c r="J48" s="7" t="s">
        <v>14</v>
      </c>
      <c r="K48" s="7" t="s">
        <v>266</v>
      </c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4:21" x14ac:dyDescent="0.25">
      <c r="D49" s="7" t="s">
        <v>59</v>
      </c>
      <c r="E49" s="13" t="s">
        <v>15</v>
      </c>
      <c r="F49" s="7" t="s">
        <v>12</v>
      </c>
      <c r="G49" s="8">
        <v>8.99</v>
      </c>
      <c r="H49" s="7" t="s">
        <v>13</v>
      </c>
      <c r="I49" s="7">
        <v>32</v>
      </c>
      <c r="J49" s="7" t="s">
        <v>60</v>
      </c>
      <c r="K49" s="7" t="s">
        <v>266</v>
      </c>
      <c r="L49" s="7"/>
      <c r="M49" s="2"/>
      <c r="N49" s="2"/>
      <c r="O49" s="2"/>
      <c r="P49" s="2"/>
      <c r="Q49" s="2"/>
      <c r="R49" s="2"/>
      <c r="S49" s="2"/>
      <c r="T49" s="2"/>
      <c r="U49" s="2"/>
    </row>
    <row r="50" spans="4:21" x14ac:dyDescent="0.25">
      <c r="D50" s="7" t="s">
        <v>46</v>
      </c>
      <c r="E50" s="7" t="s">
        <v>1</v>
      </c>
      <c r="F50" s="7" t="s">
        <v>47</v>
      </c>
      <c r="G50" s="8">
        <f>15/8</f>
        <v>1.875</v>
      </c>
      <c r="H50" s="7"/>
      <c r="I50" s="7"/>
      <c r="J50" s="7" t="s">
        <v>39</v>
      </c>
      <c r="K50" s="7" t="s">
        <v>266</v>
      </c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4:21" x14ac:dyDescent="0.25">
      <c r="D51" s="7" t="s">
        <v>16</v>
      </c>
      <c r="E51" s="7" t="s">
        <v>1</v>
      </c>
      <c r="F51" s="7" t="s">
        <v>7</v>
      </c>
      <c r="G51" s="8" t="s">
        <v>270</v>
      </c>
      <c r="H51" s="7" t="s">
        <v>8</v>
      </c>
      <c r="I51" s="7">
        <v>198</v>
      </c>
      <c r="J51" s="7" t="s">
        <v>17</v>
      </c>
      <c r="K51" s="7" t="s">
        <v>266</v>
      </c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4:21" x14ac:dyDescent="0.25">
      <c r="D52" s="7" t="s">
        <v>139</v>
      </c>
      <c r="E52" s="7" t="s">
        <v>1</v>
      </c>
      <c r="F52" s="7" t="s">
        <v>33</v>
      </c>
      <c r="G52" s="8">
        <v>19.989999999999998</v>
      </c>
      <c r="H52" s="7"/>
      <c r="I52" s="7"/>
      <c r="J52" s="7" t="s">
        <v>137</v>
      </c>
      <c r="K52" s="7" t="s">
        <v>266</v>
      </c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4:21" x14ac:dyDescent="0.25">
      <c r="D53" s="7" t="s">
        <v>186</v>
      </c>
      <c r="E53" s="7" t="s">
        <v>1</v>
      </c>
      <c r="F53" s="7" t="s">
        <v>7</v>
      </c>
      <c r="G53" s="8">
        <v>17.989999999999998</v>
      </c>
      <c r="H53" s="7"/>
      <c r="I53" s="7"/>
      <c r="J53" s="7" t="s">
        <v>137</v>
      </c>
      <c r="K53" s="7" t="s">
        <v>266</v>
      </c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4:21" x14ac:dyDescent="0.25">
      <c r="D54" s="7" t="s">
        <v>118</v>
      </c>
      <c r="E54" s="7" t="s">
        <v>1</v>
      </c>
      <c r="F54" s="7" t="s">
        <v>33</v>
      </c>
      <c r="G54" s="8"/>
      <c r="H54" s="7"/>
      <c r="I54" s="7"/>
      <c r="J54" s="7" t="s">
        <v>57</v>
      </c>
      <c r="K54" s="7" t="s">
        <v>266</v>
      </c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4:21" x14ac:dyDescent="0.25">
      <c r="D55" s="7" t="s">
        <v>96</v>
      </c>
      <c r="E55" s="7" t="s">
        <v>1</v>
      </c>
      <c r="F55" s="7" t="s">
        <v>33</v>
      </c>
      <c r="G55" s="8">
        <v>23</v>
      </c>
      <c r="H55" s="7"/>
      <c r="I55" s="7"/>
      <c r="J55" s="7" t="s">
        <v>57</v>
      </c>
      <c r="K55" s="7" t="s">
        <v>266</v>
      </c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4:21" x14ac:dyDescent="0.25">
      <c r="D56" s="7" t="s">
        <v>195</v>
      </c>
      <c r="E56" s="7" t="s">
        <v>1</v>
      </c>
      <c r="F56" s="7" t="s">
        <v>62</v>
      </c>
      <c r="G56" s="8">
        <v>11.89</v>
      </c>
      <c r="H56" s="7"/>
      <c r="I56" s="7"/>
      <c r="J56" s="7" t="s">
        <v>190</v>
      </c>
      <c r="K56" s="7" t="s">
        <v>266</v>
      </c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4:21" x14ac:dyDescent="0.25">
      <c r="D57" s="7" t="s">
        <v>196</v>
      </c>
      <c r="E57" s="7" t="s">
        <v>1</v>
      </c>
      <c r="F57" s="7" t="s">
        <v>62</v>
      </c>
      <c r="G57" s="8">
        <v>9.7899999999999991</v>
      </c>
      <c r="H57" s="7"/>
      <c r="I57" s="7"/>
      <c r="J57" s="7" t="s">
        <v>190</v>
      </c>
      <c r="K57" s="7" t="s">
        <v>266</v>
      </c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4:21" x14ac:dyDescent="0.25">
      <c r="D58" s="7" t="s">
        <v>197</v>
      </c>
      <c r="E58" s="7" t="s">
        <v>1</v>
      </c>
      <c r="F58" s="7" t="s">
        <v>62</v>
      </c>
      <c r="G58" s="8">
        <v>6.99</v>
      </c>
      <c r="H58" s="7"/>
      <c r="I58" s="7"/>
      <c r="J58" s="7" t="s">
        <v>190</v>
      </c>
      <c r="K58" s="7" t="s">
        <v>266</v>
      </c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4:21" x14ac:dyDescent="0.25">
      <c r="D59" s="7" t="s">
        <v>198</v>
      </c>
      <c r="E59" s="7" t="s">
        <v>1</v>
      </c>
      <c r="F59" s="7" t="s">
        <v>91</v>
      </c>
      <c r="G59" s="8">
        <v>9.99</v>
      </c>
      <c r="H59" s="7"/>
      <c r="I59" s="7"/>
      <c r="J59" s="7" t="s">
        <v>190</v>
      </c>
      <c r="K59" s="7" t="s">
        <v>266</v>
      </c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4:21" x14ac:dyDescent="0.25">
      <c r="D60" s="7" t="s">
        <v>24</v>
      </c>
      <c r="E60" s="13" t="s">
        <v>1</v>
      </c>
      <c r="F60" s="7" t="s">
        <v>19</v>
      </c>
      <c r="G60" s="8">
        <v>3.5</v>
      </c>
      <c r="H60" s="7" t="s">
        <v>8</v>
      </c>
      <c r="I60" s="7">
        <v>128</v>
      </c>
      <c r="J60" s="7" t="s">
        <v>9</v>
      </c>
      <c r="K60" s="7" t="s">
        <v>271</v>
      </c>
      <c r="L60" s="7"/>
      <c r="M60" s="2"/>
      <c r="N60" s="2"/>
      <c r="O60" s="2"/>
      <c r="P60" s="2"/>
      <c r="Q60" s="2"/>
      <c r="R60" s="2"/>
      <c r="S60" s="2"/>
      <c r="T60" s="2"/>
      <c r="U60" s="2"/>
    </row>
    <row r="61" spans="4:21" x14ac:dyDescent="0.25">
      <c r="D61" s="7" t="s">
        <v>67</v>
      </c>
      <c r="E61" s="7" t="s">
        <v>1</v>
      </c>
      <c r="F61" s="7" t="s">
        <v>7</v>
      </c>
      <c r="G61" s="8">
        <v>37</v>
      </c>
      <c r="H61" s="7" t="s">
        <v>3</v>
      </c>
      <c r="I61" s="7">
        <v>60</v>
      </c>
      <c r="J61" s="7" t="s">
        <v>68</v>
      </c>
      <c r="K61" s="7" t="s">
        <v>272</v>
      </c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4:21" x14ac:dyDescent="0.25">
      <c r="D62" s="7" t="s">
        <v>49</v>
      </c>
      <c r="E62" s="7" t="s">
        <v>1</v>
      </c>
      <c r="F62" s="7" t="s">
        <v>7</v>
      </c>
      <c r="G62" s="8">
        <v>24</v>
      </c>
      <c r="H62" s="7" t="s">
        <v>3</v>
      </c>
      <c r="I62" s="7">
        <v>12</v>
      </c>
      <c r="J62" s="7" t="s">
        <v>17</v>
      </c>
      <c r="K62" s="7" t="s">
        <v>49</v>
      </c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4:21" x14ac:dyDescent="0.25">
      <c r="D63" s="7" t="s">
        <v>87</v>
      </c>
      <c r="E63" s="7" t="s">
        <v>1</v>
      </c>
      <c r="F63" s="7" t="s">
        <v>33</v>
      </c>
      <c r="G63" s="8">
        <v>12.95</v>
      </c>
      <c r="H63" s="7" t="s">
        <v>8</v>
      </c>
      <c r="I63" s="7">
        <v>384</v>
      </c>
      <c r="J63" s="7" t="s">
        <v>17</v>
      </c>
      <c r="K63" s="7" t="s">
        <v>273</v>
      </c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4:21" x14ac:dyDescent="0.25">
      <c r="D64" s="7" t="s">
        <v>131</v>
      </c>
      <c r="E64" s="7" t="s">
        <v>11</v>
      </c>
      <c r="F64" s="7" t="s">
        <v>12</v>
      </c>
      <c r="G64" s="8">
        <v>24.39</v>
      </c>
      <c r="H64" s="7" t="s">
        <v>13</v>
      </c>
      <c r="I64" s="7">
        <f>10*16</f>
        <v>160</v>
      </c>
      <c r="J64" s="7" t="s">
        <v>63</v>
      </c>
      <c r="K64" s="7" t="s">
        <v>274</v>
      </c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4:21" x14ac:dyDescent="0.25">
      <c r="D65" s="7" t="s">
        <v>204</v>
      </c>
      <c r="E65" s="7" t="s">
        <v>1</v>
      </c>
      <c r="F65" s="7" t="s">
        <v>47</v>
      </c>
      <c r="G65" s="8"/>
      <c r="H65" s="7"/>
      <c r="I65" s="7"/>
      <c r="J65" s="7" t="s">
        <v>63</v>
      </c>
      <c r="K65" s="7" t="s">
        <v>274</v>
      </c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4:21" x14ac:dyDescent="0.25">
      <c r="D66" s="7" t="s">
        <v>134</v>
      </c>
      <c r="E66" s="7" t="s">
        <v>100</v>
      </c>
      <c r="F66" s="7" t="s">
        <v>12</v>
      </c>
      <c r="G66" s="8">
        <v>13.72</v>
      </c>
      <c r="H66" s="7" t="s">
        <v>13</v>
      </c>
      <c r="I66" s="7">
        <v>72</v>
      </c>
      <c r="J66" s="7" t="s">
        <v>63</v>
      </c>
      <c r="K66" s="7" t="s">
        <v>274</v>
      </c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4:21" x14ac:dyDescent="0.25">
      <c r="D67" s="7" t="s">
        <v>120</v>
      </c>
      <c r="E67" s="7" t="s">
        <v>1</v>
      </c>
      <c r="F67" s="7" t="s">
        <v>19</v>
      </c>
      <c r="G67" s="8">
        <v>1.96</v>
      </c>
      <c r="H67" s="7" t="s">
        <v>8</v>
      </c>
      <c r="I67" s="7">
        <v>12</v>
      </c>
      <c r="J67" s="7" t="s">
        <v>63</v>
      </c>
      <c r="K67" s="7" t="s">
        <v>274</v>
      </c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4:21" x14ac:dyDescent="0.25">
      <c r="D68" s="7" t="s">
        <v>135</v>
      </c>
      <c r="E68" s="7" t="s">
        <v>1</v>
      </c>
      <c r="F68" s="7" t="s">
        <v>12</v>
      </c>
      <c r="G68" s="8">
        <v>2.99</v>
      </c>
      <c r="H68" s="7" t="s">
        <v>13</v>
      </c>
      <c r="I68" s="7">
        <v>16</v>
      </c>
      <c r="J68" s="7" t="s">
        <v>63</v>
      </c>
      <c r="K68" s="7" t="s">
        <v>274</v>
      </c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4:21" x14ac:dyDescent="0.25">
      <c r="D69" s="7" t="s">
        <v>50</v>
      </c>
      <c r="E69" s="7" t="s">
        <v>1</v>
      </c>
      <c r="F69" s="7" t="s">
        <v>21</v>
      </c>
      <c r="G69" s="8"/>
      <c r="H69" s="7"/>
      <c r="I69" s="7"/>
      <c r="J69" s="7" t="s">
        <v>17</v>
      </c>
      <c r="K69" s="7" t="s">
        <v>274</v>
      </c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4:21" x14ac:dyDescent="0.25">
      <c r="D70" s="7" t="s">
        <v>51</v>
      </c>
      <c r="E70" s="7" t="s">
        <v>1</v>
      </c>
      <c r="F70" s="7" t="s">
        <v>7</v>
      </c>
      <c r="G70" s="8">
        <v>15.98</v>
      </c>
      <c r="H70" s="7"/>
      <c r="I70" s="7"/>
      <c r="J70" s="7" t="s">
        <v>17</v>
      </c>
      <c r="K70" s="7" t="s">
        <v>274</v>
      </c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4:21" x14ac:dyDescent="0.25">
      <c r="D71" s="7" t="s">
        <v>52</v>
      </c>
      <c r="E71" s="7" t="s">
        <v>1</v>
      </c>
      <c r="F71" s="7" t="s">
        <v>7</v>
      </c>
      <c r="G71" s="8">
        <v>14.99</v>
      </c>
      <c r="H71" s="7"/>
      <c r="I71" s="7"/>
      <c r="J71" s="7" t="s">
        <v>17</v>
      </c>
      <c r="K71" s="7" t="s">
        <v>274</v>
      </c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4:21" x14ac:dyDescent="0.25">
      <c r="D72" s="7" t="s">
        <v>53</v>
      </c>
      <c r="E72" s="7" t="s">
        <v>1</v>
      </c>
      <c r="F72" s="7" t="s">
        <v>7</v>
      </c>
      <c r="G72" s="8">
        <v>35.85</v>
      </c>
      <c r="H72" s="7" t="s">
        <v>3</v>
      </c>
      <c r="I72" s="7">
        <v>24</v>
      </c>
      <c r="J72" s="7" t="s">
        <v>17</v>
      </c>
      <c r="K72" s="7" t="s">
        <v>274</v>
      </c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4:21" x14ac:dyDescent="0.25">
      <c r="D73" s="7" t="s">
        <v>54</v>
      </c>
      <c r="E73" s="7" t="s">
        <v>1</v>
      </c>
      <c r="F73" s="7" t="s">
        <v>7</v>
      </c>
      <c r="G73" s="8">
        <v>35.85</v>
      </c>
      <c r="H73" s="7" t="s">
        <v>3</v>
      </c>
      <c r="I73" s="7">
        <v>24</v>
      </c>
      <c r="J73" s="7" t="s">
        <v>17</v>
      </c>
      <c r="K73" s="7" t="s">
        <v>274</v>
      </c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4:21" x14ac:dyDescent="0.25">
      <c r="D74" s="7" t="s">
        <v>275</v>
      </c>
      <c r="E74" s="7" t="s">
        <v>1</v>
      </c>
      <c r="F74" s="7" t="s">
        <v>7</v>
      </c>
      <c r="G74" s="8">
        <v>12.99</v>
      </c>
      <c r="H74" s="7" t="s">
        <v>3</v>
      </c>
      <c r="I74" s="7">
        <v>12</v>
      </c>
      <c r="J74" s="7" t="s">
        <v>17</v>
      </c>
      <c r="K74" s="7" t="s">
        <v>274</v>
      </c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4:21" x14ac:dyDescent="0.25">
      <c r="D75" s="7" t="s">
        <v>276</v>
      </c>
      <c r="E75" s="7" t="s">
        <v>1</v>
      </c>
      <c r="F75" s="7" t="s">
        <v>7</v>
      </c>
      <c r="G75" s="8">
        <v>5.77</v>
      </c>
      <c r="H75" s="7"/>
      <c r="I75" s="7"/>
      <c r="J75" s="7" t="s">
        <v>17</v>
      </c>
      <c r="K75" s="7" t="s">
        <v>274</v>
      </c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4:21" x14ac:dyDescent="0.25">
      <c r="D76" s="7" t="s">
        <v>143</v>
      </c>
      <c r="E76" s="7" t="s">
        <v>1</v>
      </c>
      <c r="F76" s="7" t="s">
        <v>21</v>
      </c>
      <c r="G76" s="8">
        <v>2.61</v>
      </c>
      <c r="H76" s="7" t="s">
        <v>3</v>
      </c>
      <c r="I76" s="7">
        <v>250</v>
      </c>
      <c r="J76" s="7" t="s">
        <v>137</v>
      </c>
      <c r="K76" s="7" t="s">
        <v>274</v>
      </c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4:21" x14ac:dyDescent="0.25">
      <c r="D77" s="7" t="s">
        <v>144</v>
      </c>
      <c r="E77" s="7" t="s">
        <v>1</v>
      </c>
      <c r="F77" s="7" t="s">
        <v>21</v>
      </c>
      <c r="G77" s="8">
        <v>2.5</v>
      </c>
      <c r="H77" s="7" t="s">
        <v>3</v>
      </c>
      <c r="I77" s="7">
        <v>250</v>
      </c>
      <c r="J77" s="7" t="s">
        <v>137</v>
      </c>
      <c r="K77" s="7" t="s">
        <v>274</v>
      </c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4:21" x14ac:dyDescent="0.25">
      <c r="D78" s="7" t="s">
        <v>277</v>
      </c>
      <c r="E78" s="7" t="s">
        <v>1</v>
      </c>
      <c r="F78" s="7" t="s">
        <v>23</v>
      </c>
      <c r="G78" s="8"/>
      <c r="H78" s="7"/>
      <c r="I78" s="7"/>
      <c r="J78" s="7" t="s">
        <v>137</v>
      </c>
      <c r="K78" s="7" t="s">
        <v>274</v>
      </c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4:21" x14ac:dyDescent="0.25">
      <c r="D79" s="7" t="s">
        <v>278</v>
      </c>
      <c r="E79" s="7" t="s">
        <v>1</v>
      </c>
      <c r="F79" s="7" t="s">
        <v>23</v>
      </c>
      <c r="G79" s="8"/>
      <c r="H79" s="7"/>
      <c r="I79" s="7"/>
      <c r="J79" s="7" t="s">
        <v>137</v>
      </c>
      <c r="K79" s="7" t="s">
        <v>274</v>
      </c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4:21" x14ac:dyDescent="0.25">
      <c r="D80" s="7" t="s">
        <v>146</v>
      </c>
      <c r="E80" s="7" t="s">
        <v>1</v>
      </c>
      <c r="F80" s="7" t="s">
        <v>23</v>
      </c>
      <c r="G80" s="8"/>
      <c r="H80" s="7"/>
      <c r="I80" s="7"/>
      <c r="J80" s="7" t="s">
        <v>137</v>
      </c>
      <c r="K80" s="7" t="s">
        <v>274</v>
      </c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4:21" x14ac:dyDescent="0.25">
      <c r="D81" s="7" t="s">
        <v>172</v>
      </c>
      <c r="E81" s="7" t="s">
        <v>1</v>
      </c>
      <c r="F81" s="7" t="s">
        <v>21</v>
      </c>
      <c r="G81" s="8">
        <v>3.72</v>
      </c>
      <c r="H81" s="7" t="s">
        <v>3</v>
      </c>
      <c r="I81" s="7">
        <v>500</v>
      </c>
      <c r="J81" s="7" t="s">
        <v>137</v>
      </c>
      <c r="K81" s="7" t="s">
        <v>274</v>
      </c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4:21" x14ac:dyDescent="0.25">
      <c r="D82" s="7" t="s">
        <v>155</v>
      </c>
      <c r="E82" s="7" t="s">
        <v>1</v>
      </c>
      <c r="F82" s="7" t="s">
        <v>7</v>
      </c>
      <c r="G82" s="8">
        <v>34.47</v>
      </c>
      <c r="H82" s="7" t="s">
        <v>3</v>
      </c>
      <c r="I82" s="7">
        <v>250</v>
      </c>
      <c r="J82" s="7" t="s">
        <v>137</v>
      </c>
      <c r="K82" s="7" t="s">
        <v>274</v>
      </c>
      <c r="L82" s="2"/>
      <c r="M82" s="2" t="s">
        <v>279</v>
      </c>
      <c r="N82" s="2"/>
      <c r="O82" s="2"/>
      <c r="P82" s="2"/>
      <c r="Q82" s="2"/>
      <c r="R82" s="2"/>
      <c r="S82" s="2"/>
      <c r="T82" s="2"/>
      <c r="U82" s="2"/>
    </row>
    <row r="83" spans="4:21" x14ac:dyDescent="0.25">
      <c r="D83" s="7" t="s">
        <v>182</v>
      </c>
      <c r="E83" s="7" t="s">
        <v>1</v>
      </c>
      <c r="F83" s="7" t="s">
        <v>33</v>
      </c>
      <c r="G83" s="8">
        <v>20.58</v>
      </c>
      <c r="H83" s="7"/>
      <c r="I83" s="7"/>
      <c r="J83" s="7" t="s">
        <v>137</v>
      </c>
      <c r="K83" s="7" t="s">
        <v>274</v>
      </c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4:21" x14ac:dyDescent="0.25">
      <c r="D84" s="7" t="s">
        <v>148</v>
      </c>
      <c r="E84" s="7" t="s">
        <v>1</v>
      </c>
      <c r="F84" s="7" t="s">
        <v>19</v>
      </c>
      <c r="G84" s="8"/>
      <c r="H84" s="7"/>
      <c r="I84" s="7"/>
      <c r="J84" s="7" t="s">
        <v>137</v>
      </c>
      <c r="K84" s="7" t="s">
        <v>274</v>
      </c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4:21" x14ac:dyDescent="0.25">
      <c r="D85" s="7" t="s">
        <v>171</v>
      </c>
      <c r="E85" s="7" t="s">
        <v>1</v>
      </c>
      <c r="F85" s="7" t="s">
        <v>7</v>
      </c>
      <c r="G85" s="8">
        <v>15.36</v>
      </c>
      <c r="H85" s="7" t="s">
        <v>3</v>
      </c>
      <c r="I85" s="7">
        <v>1000</v>
      </c>
      <c r="J85" s="7" t="s">
        <v>137</v>
      </c>
      <c r="K85" s="7" t="s">
        <v>280</v>
      </c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4:21" x14ac:dyDescent="0.25">
      <c r="D86" s="7" t="s">
        <v>173</v>
      </c>
      <c r="E86" s="7" t="s">
        <v>1</v>
      </c>
      <c r="F86" s="7" t="s">
        <v>33</v>
      </c>
      <c r="G86" s="8">
        <v>37.257444168734494</v>
      </c>
      <c r="H86" s="7"/>
      <c r="I86" s="7"/>
      <c r="J86" s="7" t="s">
        <v>137</v>
      </c>
      <c r="K86" s="7" t="s">
        <v>280</v>
      </c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4:21" x14ac:dyDescent="0.25">
      <c r="D87" s="7" t="s">
        <v>174</v>
      </c>
      <c r="E87" s="7" t="s">
        <v>1</v>
      </c>
      <c r="F87" s="7" t="s">
        <v>33</v>
      </c>
      <c r="G87" s="8">
        <v>37.257444168734494</v>
      </c>
      <c r="H87" s="7"/>
      <c r="I87" s="7"/>
      <c r="J87" s="7" t="s">
        <v>137</v>
      </c>
      <c r="K87" s="7" t="s">
        <v>280</v>
      </c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4:21" x14ac:dyDescent="0.25">
      <c r="D88" s="7" t="s">
        <v>175</v>
      </c>
      <c r="E88" s="7" t="s">
        <v>1</v>
      </c>
      <c r="F88" s="7" t="s">
        <v>33</v>
      </c>
      <c r="G88" s="8">
        <v>37.257444168734494</v>
      </c>
      <c r="H88" s="7"/>
      <c r="I88" s="7"/>
      <c r="J88" s="7" t="s">
        <v>137</v>
      </c>
      <c r="K88" s="7" t="s">
        <v>280</v>
      </c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4:21" x14ac:dyDescent="0.25">
      <c r="D89" s="7" t="s">
        <v>162</v>
      </c>
      <c r="E89" s="7" t="s">
        <v>1</v>
      </c>
      <c r="F89" s="7" t="s">
        <v>23</v>
      </c>
      <c r="G89" s="8">
        <v>7.1999999999999995E-2</v>
      </c>
      <c r="H89" s="7" t="s">
        <v>3</v>
      </c>
      <c r="I89" s="7">
        <v>1</v>
      </c>
      <c r="J89" s="7" t="s">
        <v>137</v>
      </c>
      <c r="K89" s="7" t="s">
        <v>280</v>
      </c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4:21" x14ac:dyDescent="0.25">
      <c r="D90" s="7" t="s">
        <v>163</v>
      </c>
      <c r="E90" s="7" t="s">
        <v>1</v>
      </c>
      <c r="F90" s="7" t="s">
        <v>23</v>
      </c>
      <c r="G90" s="8">
        <v>7.1999999999999995E-2</v>
      </c>
      <c r="H90" s="7" t="s">
        <v>3</v>
      </c>
      <c r="I90" s="7">
        <v>1</v>
      </c>
      <c r="J90" s="7" t="s">
        <v>137</v>
      </c>
      <c r="K90" s="7" t="s">
        <v>280</v>
      </c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4:21" x14ac:dyDescent="0.25">
      <c r="D91" s="7" t="s">
        <v>177</v>
      </c>
      <c r="E91" s="7" t="s">
        <v>1</v>
      </c>
      <c r="F91" s="7" t="s">
        <v>33</v>
      </c>
      <c r="G91" s="8">
        <v>18.12</v>
      </c>
      <c r="H91" s="7" t="s">
        <v>3</v>
      </c>
      <c r="I91" s="7">
        <v>250</v>
      </c>
      <c r="J91" s="7" t="s">
        <v>137</v>
      </c>
      <c r="K91" s="7" t="s">
        <v>280</v>
      </c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4:21" x14ac:dyDescent="0.25">
      <c r="D92" s="7" t="s">
        <v>181</v>
      </c>
      <c r="E92" s="7" t="s">
        <v>1</v>
      </c>
      <c r="F92" s="7" t="s">
        <v>33</v>
      </c>
      <c r="G92" s="8">
        <v>45.12</v>
      </c>
      <c r="H92" s="7" t="s">
        <v>3</v>
      </c>
      <c r="I92" s="7">
        <v>6000</v>
      </c>
      <c r="J92" s="7" t="s">
        <v>137</v>
      </c>
      <c r="K92" s="7" t="s">
        <v>280</v>
      </c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4:21" x14ac:dyDescent="0.25">
      <c r="D93" s="7" t="s">
        <v>164</v>
      </c>
      <c r="E93" s="7" t="s">
        <v>1</v>
      </c>
      <c r="F93" s="7" t="s">
        <v>7</v>
      </c>
      <c r="G93" s="8">
        <v>50.14</v>
      </c>
      <c r="H93" s="7" t="s">
        <v>3</v>
      </c>
      <c r="I93" s="7">
        <v>4000</v>
      </c>
      <c r="J93" s="7" t="s">
        <v>137</v>
      </c>
      <c r="K93" s="7" t="s">
        <v>280</v>
      </c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4:21" x14ac:dyDescent="0.25">
      <c r="D94" s="7" t="s">
        <v>165</v>
      </c>
      <c r="E94" s="7" t="s">
        <v>1</v>
      </c>
      <c r="F94" s="7" t="s">
        <v>33</v>
      </c>
      <c r="G94" s="8">
        <v>24.46</v>
      </c>
      <c r="H94" s="7" t="s">
        <v>3</v>
      </c>
      <c r="I94" s="7">
        <v>1000</v>
      </c>
      <c r="J94" s="7" t="s">
        <v>137</v>
      </c>
      <c r="K94" s="7" t="s">
        <v>280</v>
      </c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4:21" x14ac:dyDescent="0.25">
      <c r="D95" s="7" t="s">
        <v>166</v>
      </c>
      <c r="E95" s="7" t="s">
        <v>1</v>
      </c>
      <c r="F95" s="7" t="s">
        <v>33</v>
      </c>
      <c r="G95" s="8">
        <v>44.03</v>
      </c>
      <c r="H95" s="7" t="s">
        <v>3</v>
      </c>
      <c r="I95" s="7">
        <v>1000</v>
      </c>
      <c r="J95" s="7" t="s">
        <v>137</v>
      </c>
      <c r="K95" s="7" t="s">
        <v>280</v>
      </c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4:21" x14ac:dyDescent="0.25">
      <c r="D96" s="7" t="s">
        <v>153</v>
      </c>
      <c r="E96" s="7" t="s">
        <v>1</v>
      </c>
      <c r="F96" s="7" t="s">
        <v>33</v>
      </c>
      <c r="G96" s="8">
        <v>30.27</v>
      </c>
      <c r="H96" s="7"/>
      <c r="I96" s="7"/>
      <c r="J96" s="7" t="s">
        <v>137</v>
      </c>
      <c r="K96" s="7" t="s">
        <v>280</v>
      </c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4:21" x14ac:dyDescent="0.25">
      <c r="D97" s="7" t="s">
        <v>218</v>
      </c>
      <c r="E97" s="7" t="s">
        <v>1</v>
      </c>
      <c r="F97" s="7" t="s">
        <v>33</v>
      </c>
      <c r="G97" s="8">
        <v>25.89</v>
      </c>
      <c r="H97" s="7" t="s">
        <v>3</v>
      </c>
      <c r="I97" s="7">
        <v>30</v>
      </c>
      <c r="J97" s="7" t="s">
        <v>63</v>
      </c>
      <c r="K97" s="7" t="s">
        <v>281</v>
      </c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4:21" x14ac:dyDescent="0.25">
      <c r="D98" s="7" t="s">
        <v>76</v>
      </c>
      <c r="E98" s="7" t="s">
        <v>1</v>
      </c>
      <c r="F98" s="7" t="s">
        <v>7</v>
      </c>
      <c r="G98" s="8">
        <v>79</v>
      </c>
      <c r="H98" s="7" t="s">
        <v>3</v>
      </c>
      <c r="I98" s="7">
        <v>60</v>
      </c>
      <c r="J98" s="7" t="s">
        <v>68</v>
      </c>
      <c r="K98" s="7" t="s">
        <v>282</v>
      </c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4:21" x14ac:dyDescent="0.25">
      <c r="D99" s="7" t="s">
        <v>77</v>
      </c>
      <c r="E99" s="7" t="s">
        <v>78</v>
      </c>
      <c r="F99" s="7" t="s">
        <v>12</v>
      </c>
      <c r="G99" s="8">
        <v>29.6</v>
      </c>
      <c r="H99" s="7" t="s">
        <v>13</v>
      </c>
      <c r="I99" s="7">
        <v>320</v>
      </c>
      <c r="J99" s="7" t="s">
        <v>68</v>
      </c>
      <c r="K99" s="7" t="s">
        <v>282</v>
      </c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4:21" x14ac:dyDescent="0.25">
      <c r="D100" s="7" t="s">
        <v>79</v>
      </c>
      <c r="E100" s="7" t="s">
        <v>36</v>
      </c>
      <c r="F100" s="7" t="s">
        <v>12</v>
      </c>
      <c r="G100" s="8">
        <v>58.7</v>
      </c>
      <c r="H100" s="7" t="s">
        <v>13</v>
      </c>
      <c r="I100" s="7">
        <v>480</v>
      </c>
      <c r="J100" s="7" t="s">
        <v>68</v>
      </c>
      <c r="K100" s="7" t="s">
        <v>282</v>
      </c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4:21" x14ac:dyDescent="0.25">
      <c r="D101" s="7" t="s">
        <v>80</v>
      </c>
      <c r="E101" s="7" t="s">
        <v>36</v>
      </c>
      <c r="F101" s="7" t="s">
        <v>12</v>
      </c>
      <c r="G101" s="8">
        <v>60.6</v>
      </c>
      <c r="H101" s="7" t="s">
        <v>13</v>
      </c>
      <c r="I101" s="7">
        <v>480</v>
      </c>
      <c r="J101" s="7" t="s">
        <v>68</v>
      </c>
      <c r="K101" s="7" t="s">
        <v>282</v>
      </c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4:21" x14ac:dyDescent="0.25">
      <c r="D102" s="7" t="s">
        <v>81</v>
      </c>
      <c r="E102" s="7" t="s">
        <v>36</v>
      </c>
      <c r="F102" s="7" t="s">
        <v>12</v>
      </c>
      <c r="G102" s="8">
        <v>60</v>
      </c>
      <c r="H102" s="7" t="s">
        <v>13</v>
      </c>
      <c r="I102" s="7">
        <v>480</v>
      </c>
      <c r="J102" s="7" t="s">
        <v>68</v>
      </c>
      <c r="K102" s="7" t="s">
        <v>282</v>
      </c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4:21" x14ac:dyDescent="0.25">
      <c r="D103" s="7" t="s">
        <v>82</v>
      </c>
      <c r="E103" s="7" t="s">
        <v>36</v>
      </c>
      <c r="F103" s="7" t="s">
        <v>12</v>
      </c>
      <c r="G103" s="8">
        <v>59.4</v>
      </c>
      <c r="H103" s="7" t="s">
        <v>13</v>
      </c>
      <c r="I103" s="7">
        <f>30*16</f>
        <v>480</v>
      </c>
      <c r="J103" s="7" t="s">
        <v>68</v>
      </c>
      <c r="K103" s="7" t="s">
        <v>282</v>
      </c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4:21" x14ac:dyDescent="0.25">
      <c r="D104" s="7" t="s">
        <v>83</v>
      </c>
      <c r="E104" s="7" t="s">
        <v>84</v>
      </c>
      <c r="F104" s="7" t="s">
        <v>12</v>
      </c>
      <c r="G104" s="8">
        <v>38.5</v>
      </c>
      <c r="H104" s="7" t="s">
        <v>13</v>
      </c>
      <c r="I104" s="7">
        <f>22*16</f>
        <v>352</v>
      </c>
      <c r="J104" s="7" t="s">
        <v>68</v>
      </c>
      <c r="K104" s="7" t="s">
        <v>282</v>
      </c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4:21" x14ac:dyDescent="0.25">
      <c r="D105" s="7" t="s">
        <v>85</v>
      </c>
      <c r="E105" s="7" t="s">
        <v>84</v>
      </c>
      <c r="F105" s="7" t="s">
        <v>12</v>
      </c>
      <c r="G105" s="8">
        <v>72.150000000000006</v>
      </c>
      <c r="H105" s="7" t="s">
        <v>13</v>
      </c>
      <c r="I105" s="7">
        <f>22*16</f>
        <v>352</v>
      </c>
      <c r="J105" s="7" t="s">
        <v>68</v>
      </c>
      <c r="K105" s="7" t="s">
        <v>282</v>
      </c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4:21" x14ac:dyDescent="0.25">
      <c r="D106" s="7" t="s">
        <v>86</v>
      </c>
      <c r="E106" s="7" t="s">
        <v>36</v>
      </c>
      <c r="F106" s="7" t="s">
        <v>12</v>
      </c>
      <c r="G106" s="8">
        <v>55.8</v>
      </c>
      <c r="H106" s="7" t="s">
        <v>13</v>
      </c>
      <c r="I106" s="7">
        <f>30*16</f>
        <v>480</v>
      </c>
      <c r="J106" s="7" t="s">
        <v>68</v>
      </c>
      <c r="K106" s="7" t="s">
        <v>282</v>
      </c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4:21" x14ac:dyDescent="0.25">
      <c r="D107" s="7" t="s">
        <v>142</v>
      </c>
      <c r="E107" s="7" t="s">
        <v>1</v>
      </c>
      <c r="F107" s="7" t="s">
        <v>23</v>
      </c>
      <c r="G107" s="8"/>
      <c r="H107" s="7"/>
      <c r="I107" s="7"/>
      <c r="J107" s="7" t="s">
        <v>137</v>
      </c>
      <c r="K107" s="7" t="s">
        <v>283</v>
      </c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4:21" x14ac:dyDescent="0.25">
      <c r="D108" s="7" t="s">
        <v>258</v>
      </c>
      <c r="E108" s="7" t="s">
        <v>1</v>
      </c>
      <c r="F108" s="7" t="s">
        <v>19</v>
      </c>
      <c r="G108" s="8">
        <v>5</v>
      </c>
      <c r="H108" s="7" t="s">
        <v>8</v>
      </c>
      <c r="I108" s="7">
        <v>17</v>
      </c>
      <c r="J108" s="7" t="s">
        <v>63</v>
      </c>
      <c r="K108" s="7" t="s">
        <v>284</v>
      </c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4:21" x14ac:dyDescent="0.25">
      <c r="D109" s="7" t="s">
        <v>56</v>
      </c>
      <c r="E109" s="7" t="s">
        <v>1</v>
      </c>
      <c r="F109" s="7" t="s">
        <v>19</v>
      </c>
      <c r="G109" s="8"/>
      <c r="H109" s="7"/>
      <c r="I109" s="7"/>
      <c r="J109" s="7" t="s">
        <v>57</v>
      </c>
      <c r="K109" s="7" t="s">
        <v>284</v>
      </c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4:21" x14ac:dyDescent="0.25">
      <c r="D110" s="7" t="s">
        <v>58</v>
      </c>
      <c r="E110" s="7" t="s">
        <v>1</v>
      </c>
      <c r="F110" s="7" t="s">
        <v>19</v>
      </c>
      <c r="G110" s="8"/>
      <c r="H110" s="7"/>
      <c r="I110" s="7"/>
      <c r="J110" s="7" t="s">
        <v>57</v>
      </c>
      <c r="K110" s="7" t="s">
        <v>284</v>
      </c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4:21" x14ac:dyDescent="0.25">
      <c r="D111" s="7" t="s">
        <v>167</v>
      </c>
      <c r="E111" s="7" t="s">
        <v>1</v>
      </c>
      <c r="F111" s="7" t="s">
        <v>21</v>
      </c>
      <c r="G111" s="8">
        <v>5.86</v>
      </c>
      <c r="H111" s="7" t="s">
        <v>3</v>
      </c>
      <c r="I111" s="7">
        <v>50</v>
      </c>
      <c r="J111" s="7" t="s">
        <v>137</v>
      </c>
      <c r="K111" s="7" t="s">
        <v>285</v>
      </c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4:21" x14ac:dyDescent="0.25">
      <c r="D112" s="7" t="s">
        <v>187</v>
      </c>
      <c r="E112" s="7" t="s">
        <v>1</v>
      </c>
      <c r="F112" s="7" t="s">
        <v>7</v>
      </c>
      <c r="G112" s="8">
        <v>91.49</v>
      </c>
      <c r="H112" s="7"/>
      <c r="I112" s="7"/>
      <c r="J112" s="7" t="s">
        <v>137</v>
      </c>
      <c r="K112" s="7" t="s">
        <v>285</v>
      </c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4:21" x14ac:dyDescent="0.25">
      <c r="D113" s="7" t="s">
        <v>147</v>
      </c>
      <c r="E113" s="7" t="s">
        <v>1</v>
      </c>
      <c r="F113" s="7" t="s">
        <v>21</v>
      </c>
      <c r="G113" s="8">
        <v>5.0599999999999996</v>
      </c>
      <c r="H113" s="7" t="s">
        <v>3</v>
      </c>
      <c r="I113" s="7">
        <v>50</v>
      </c>
      <c r="J113" s="7" t="s">
        <v>137</v>
      </c>
      <c r="K113" s="7" t="s">
        <v>285</v>
      </c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4:21" x14ac:dyDescent="0.25">
      <c r="D114" s="7" t="s">
        <v>149</v>
      </c>
      <c r="E114" s="7" t="s">
        <v>1</v>
      </c>
      <c r="F114" s="7" t="s">
        <v>33</v>
      </c>
      <c r="G114" s="8">
        <v>124.34</v>
      </c>
      <c r="H114" s="7"/>
      <c r="I114" s="7" t="s">
        <v>286</v>
      </c>
      <c r="J114" s="7" t="s">
        <v>137</v>
      </c>
      <c r="K114" s="7" t="s">
        <v>285</v>
      </c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4:21" x14ac:dyDescent="0.25">
      <c r="D115" s="7" t="s">
        <v>188</v>
      </c>
      <c r="E115" s="7" t="s">
        <v>1</v>
      </c>
      <c r="F115" s="7" t="s">
        <v>7</v>
      </c>
      <c r="G115" s="8">
        <v>49.52</v>
      </c>
      <c r="H115" s="7" t="s">
        <v>3</v>
      </c>
      <c r="I115" s="7">
        <v>300</v>
      </c>
      <c r="J115" s="7" t="s">
        <v>137</v>
      </c>
      <c r="K115" s="7" t="s">
        <v>285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4:21" x14ac:dyDescent="0.25">
      <c r="D116" s="7" t="s">
        <v>168</v>
      </c>
      <c r="E116" s="7" t="s">
        <v>1</v>
      </c>
      <c r="F116" s="7" t="s">
        <v>21</v>
      </c>
      <c r="G116" s="8">
        <v>6.16</v>
      </c>
      <c r="H116" s="7" t="s">
        <v>3</v>
      </c>
      <c r="I116" s="7">
        <v>50</v>
      </c>
      <c r="J116" s="7" t="s">
        <v>137</v>
      </c>
      <c r="K116" s="7" t="s">
        <v>285</v>
      </c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4:21" x14ac:dyDescent="0.25">
      <c r="D117" s="7" t="s">
        <v>169</v>
      </c>
      <c r="E117" s="7" t="s">
        <v>1</v>
      </c>
      <c r="F117" s="7" t="s">
        <v>21</v>
      </c>
      <c r="G117" s="8">
        <v>3.33</v>
      </c>
      <c r="H117" s="7" t="s">
        <v>3</v>
      </c>
      <c r="I117" s="7">
        <v>50</v>
      </c>
      <c r="J117" s="7" t="s">
        <v>137</v>
      </c>
      <c r="K117" s="7" t="s">
        <v>285</v>
      </c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4:21" x14ac:dyDescent="0.25">
      <c r="D118" s="7" t="s">
        <v>170</v>
      </c>
      <c r="E118" s="7" t="s">
        <v>1</v>
      </c>
      <c r="F118" s="7" t="s">
        <v>21</v>
      </c>
      <c r="G118" s="8">
        <v>4.6900000000000004</v>
      </c>
      <c r="H118" s="7" t="s">
        <v>3</v>
      </c>
      <c r="I118" s="7">
        <v>50</v>
      </c>
      <c r="J118" s="7" t="s">
        <v>137</v>
      </c>
      <c r="K118" s="7" t="s">
        <v>285</v>
      </c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4:21" x14ac:dyDescent="0.25">
      <c r="D119" s="7" t="s">
        <v>287</v>
      </c>
      <c r="E119" s="7" t="s">
        <v>1</v>
      </c>
      <c r="F119" s="7" t="s">
        <v>21</v>
      </c>
      <c r="G119" s="8"/>
      <c r="H119" s="7"/>
      <c r="I119" s="7"/>
      <c r="J119" s="7" t="s">
        <v>137</v>
      </c>
      <c r="K119" s="7" t="s">
        <v>285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4:21" x14ac:dyDescent="0.25">
      <c r="D120" s="7" t="s">
        <v>189</v>
      </c>
      <c r="E120" s="7" t="s">
        <v>1</v>
      </c>
      <c r="F120" s="7" t="s">
        <v>7</v>
      </c>
      <c r="G120" s="8">
        <v>49.99</v>
      </c>
      <c r="H120" s="7" t="s">
        <v>3</v>
      </c>
      <c r="I120" s="7">
        <v>300</v>
      </c>
      <c r="J120" s="7" t="s">
        <v>137</v>
      </c>
      <c r="K120" s="7" t="s">
        <v>285</v>
      </c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4:21" x14ac:dyDescent="0.25">
      <c r="D121" s="7" t="s">
        <v>178</v>
      </c>
      <c r="E121" s="7"/>
      <c r="F121" s="7" t="s">
        <v>21</v>
      </c>
      <c r="G121" s="8">
        <v>7.6</v>
      </c>
      <c r="H121" s="7" t="s">
        <v>3</v>
      </c>
      <c r="I121" s="7">
        <v>100</v>
      </c>
      <c r="J121" s="7" t="s">
        <v>137</v>
      </c>
      <c r="K121" s="7" t="s">
        <v>285</v>
      </c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spans="4:21" x14ac:dyDescent="0.25">
      <c r="D122" s="7" t="s">
        <v>179</v>
      </c>
      <c r="E122" s="7" t="s">
        <v>1</v>
      </c>
      <c r="F122" s="7" t="s">
        <v>21</v>
      </c>
      <c r="G122" s="8">
        <v>7.6</v>
      </c>
      <c r="H122" s="7" t="s">
        <v>3</v>
      </c>
      <c r="I122" s="7">
        <v>100</v>
      </c>
      <c r="J122" s="7" t="s">
        <v>137</v>
      </c>
      <c r="K122" s="7" t="s">
        <v>285</v>
      </c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spans="4:21" x14ac:dyDescent="0.25">
      <c r="D123" s="7" t="s">
        <v>180</v>
      </c>
      <c r="E123" s="7" t="s">
        <v>1</v>
      </c>
      <c r="F123" s="7" t="s">
        <v>21</v>
      </c>
      <c r="G123" s="8">
        <v>7.6</v>
      </c>
      <c r="H123" s="7" t="s">
        <v>3</v>
      </c>
      <c r="I123" s="7">
        <v>100</v>
      </c>
      <c r="J123" s="7" t="s">
        <v>137</v>
      </c>
      <c r="K123" s="7" t="s">
        <v>285</v>
      </c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spans="4:21" x14ac:dyDescent="0.25">
      <c r="D124" s="7" t="s">
        <v>183</v>
      </c>
      <c r="E124" s="7" t="s">
        <v>1</v>
      </c>
      <c r="F124" s="7" t="s">
        <v>21</v>
      </c>
      <c r="G124" s="8">
        <v>8.9499999999999993</v>
      </c>
      <c r="H124" s="7" t="s">
        <v>3</v>
      </c>
      <c r="I124" s="7">
        <v>100</v>
      </c>
      <c r="J124" s="7" t="s">
        <v>137</v>
      </c>
      <c r="K124" s="7" t="s">
        <v>285</v>
      </c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spans="4:21" x14ac:dyDescent="0.25">
      <c r="D125" s="7" t="s">
        <v>184</v>
      </c>
      <c r="E125" s="7" t="s">
        <v>1</v>
      </c>
      <c r="F125" s="7" t="s">
        <v>21</v>
      </c>
      <c r="G125" s="8">
        <v>8.75</v>
      </c>
      <c r="H125" s="7" t="s">
        <v>3</v>
      </c>
      <c r="I125" s="7">
        <v>100</v>
      </c>
      <c r="J125" s="7" t="s">
        <v>137</v>
      </c>
      <c r="K125" s="7" t="s">
        <v>285</v>
      </c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spans="4:21" x14ac:dyDescent="0.25">
      <c r="D126" s="7" t="s">
        <v>288</v>
      </c>
      <c r="E126" s="7" t="s">
        <v>1</v>
      </c>
      <c r="F126" s="7" t="s">
        <v>7</v>
      </c>
      <c r="G126" s="8">
        <v>98.81</v>
      </c>
      <c r="H126" s="7" t="s">
        <v>3</v>
      </c>
      <c r="I126" s="7">
        <v>500</v>
      </c>
      <c r="J126" s="7" t="s">
        <v>137</v>
      </c>
      <c r="K126" s="7" t="s">
        <v>285</v>
      </c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spans="4:21" x14ac:dyDescent="0.25">
      <c r="D127" s="9" t="s">
        <v>110</v>
      </c>
      <c r="E127" s="7" t="s">
        <v>1</v>
      </c>
      <c r="F127" s="7" t="s">
        <v>7</v>
      </c>
      <c r="G127" s="8">
        <v>20.05</v>
      </c>
      <c r="H127" s="7" t="s">
        <v>3</v>
      </c>
      <c r="I127" s="7">
        <v>72</v>
      </c>
      <c r="J127" s="7" t="s">
        <v>4</v>
      </c>
      <c r="K127" s="7" t="s">
        <v>289</v>
      </c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spans="4:21" x14ac:dyDescent="0.25">
      <c r="D128" s="7" t="s">
        <v>113</v>
      </c>
      <c r="E128" s="7" t="s">
        <v>1</v>
      </c>
      <c r="F128" s="7" t="s">
        <v>7</v>
      </c>
      <c r="G128" s="8">
        <v>20.36</v>
      </c>
      <c r="H128" s="7" t="s">
        <v>3</v>
      </c>
      <c r="I128" s="7">
        <v>72</v>
      </c>
      <c r="J128" s="7" t="s">
        <v>4</v>
      </c>
      <c r="K128" s="7" t="s">
        <v>289</v>
      </c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spans="4:21" x14ac:dyDescent="0.25">
      <c r="D129" s="7" t="s">
        <v>117</v>
      </c>
      <c r="E129" s="7" t="s">
        <v>1</v>
      </c>
      <c r="F129" s="7" t="s">
        <v>7</v>
      </c>
      <c r="G129" s="8">
        <v>20.58</v>
      </c>
      <c r="H129" s="7" t="s">
        <v>3</v>
      </c>
      <c r="I129" s="7" t="s">
        <v>70</v>
      </c>
      <c r="J129" s="7" t="s">
        <v>4</v>
      </c>
      <c r="K129" s="7" t="s">
        <v>289</v>
      </c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spans="4:21" x14ac:dyDescent="0.25">
      <c r="D130" s="7" t="s">
        <v>260</v>
      </c>
      <c r="E130" s="7" t="s">
        <v>1</v>
      </c>
      <c r="F130" s="7" t="s">
        <v>33</v>
      </c>
      <c r="G130" s="8">
        <v>28.59</v>
      </c>
      <c r="H130" s="7" t="s">
        <v>3</v>
      </c>
      <c r="I130" s="7">
        <v>144</v>
      </c>
      <c r="J130" s="7" t="s">
        <v>4</v>
      </c>
      <c r="K130" s="7" t="s">
        <v>289</v>
      </c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spans="4:21" x14ac:dyDescent="0.25">
      <c r="D131" s="7" t="s">
        <v>27</v>
      </c>
      <c r="E131" s="13" t="s">
        <v>28</v>
      </c>
      <c r="F131" s="7" t="s">
        <v>12</v>
      </c>
      <c r="G131" s="8">
        <v>8.35</v>
      </c>
      <c r="H131" s="7" t="s">
        <v>13</v>
      </c>
      <c r="I131" s="7">
        <v>48</v>
      </c>
      <c r="J131" s="7" t="s">
        <v>9</v>
      </c>
      <c r="K131" s="7" t="s">
        <v>289</v>
      </c>
      <c r="L131" s="7"/>
      <c r="M131" s="2"/>
      <c r="N131" s="2"/>
      <c r="O131" s="2"/>
      <c r="P131" s="2"/>
      <c r="Q131" s="2"/>
      <c r="R131" s="2"/>
      <c r="S131" s="2"/>
      <c r="T131" s="2"/>
      <c r="U131" s="2"/>
    </row>
    <row r="132" spans="4:21" x14ac:dyDescent="0.25">
      <c r="D132" s="9" t="s">
        <v>29</v>
      </c>
      <c r="E132" s="13" t="s">
        <v>1</v>
      </c>
      <c r="F132" s="7" t="s">
        <v>7</v>
      </c>
      <c r="G132" s="8">
        <v>24.43</v>
      </c>
      <c r="H132" s="7" t="s">
        <v>3</v>
      </c>
      <c r="I132" s="7">
        <v>180</v>
      </c>
      <c r="J132" s="7" t="s">
        <v>9</v>
      </c>
      <c r="K132" s="7" t="s">
        <v>289</v>
      </c>
      <c r="L132" s="7"/>
      <c r="M132" s="2"/>
      <c r="N132" s="2"/>
      <c r="O132" s="2"/>
      <c r="P132" s="2"/>
      <c r="Q132" s="2"/>
      <c r="R132" s="2"/>
      <c r="S132" s="2"/>
      <c r="T132" s="2"/>
      <c r="U132" s="2"/>
    </row>
    <row r="133" spans="4:21" x14ac:dyDescent="0.25">
      <c r="D133" s="7" t="s">
        <v>104</v>
      </c>
      <c r="E133" s="13" t="s">
        <v>1</v>
      </c>
      <c r="F133" s="7" t="s">
        <v>7</v>
      </c>
      <c r="G133" s="8">
        <v>26.2</v>
      </c>
      <c r="H133" s="7" t="s">
        <v>8</v>
      </c>
      <c r="I133" s="7">
        <v>512</v>
      </c>
      <c r="J133" s="7" t="s">
        <v>9</v>
      </c>
      <c r="K133" s="7" t="s">
        <v>289</v>
      </c>
      <c r="L133" s="7"/>
      <c r="M133" s="2"/>
      <c r="N133" s="2"/>
      <c r="O133" s="2"/>
      <c r="P133" s="2"/>
      <c r="Q133" s="2"/>
      <c r="R133" s="2"/>
      <c r="S133" s="2"/>
      <c r="T133" s="2"/>
      <c r="U133" s="2"/>
    </row>
    <row r="134" spans="4:21" x14ac:dyDescent="0.25">
      <c r="D134" s="7" t="s">
        <v>30</v>
      </c>
      <c r="E134" s="13" t="s">
        <v>31</v>
      </c>
      <c r="F134" s="7" t="s">
        <v>12</v>
      </c>
      <c r="G134" s="8">
        <v>13.88</v>
      </c>
      <c r="H134" s="7" t="s">
        <v>13</v>
      </c>
      <c r="I134" s="7">
        <v>80</v>
      </c>
      <c r="J134" s="7" t="s">
        <v>9</v>
      </c>
      <c r="K134" s="7" t="s">
        <v>289</v>
      </c>
      <c r="L134" s="7"/>
      <c r="M134" s="2"/>
      <c r="N134" s="2"/>
      <c r="O134" s="2"/>
      <c r="P134" s="2"/>
      <c r="Q134" s="2"/>
      <c r="R134" s="2"/>
      <c r="S134" s="2"/>
      <c r="T134" s="2"/>
      <c r="U134" s="2"/>
    </row>
    <row r="135" spans="4:21" x14ac:dyDescent="0.25">
      <c r="D135" s="7" t="s">
        <v>18</v>
      </c>
      <c r="E135" s="13" t="s">
        <v>1</v>
      </c>
      <c r="F135" s="7" t="s">
        <v>19</v>
      </c>
      <c r="G135" s="8">
        <v>5.79</v>
      </c>
      <c r="H135" s="7" t="s">
        <v>13</v>
      </c>
      <c r="I135" s="7">
        <v>32</v>
      </c>
      <c r="J135" s="7" t="s">
        <v>9</v>
      </c>
      <c r="K135" s="7" t="s">
        <v>289</v>
      </c>
      <c r="L135" s="7"/>
      <c r="M135" s="2"/>
      <c r="N135" s="2"/>
      <c r="O135" s="2"/>
      <c r="P135" s="2"/>
      <c r="Q135" s="2"/>
      <c r="R135" s="2"/>
      <c r="S135" s="2"/>
      <c r="T135" s="2"/>
      <c r="U135" s="2"/>
    </row>
    <row r="136" spans="4:21" x14ac:dyDescent="0.25">
      <c r="D136" s="7" t="s">
        <v>290</v>
      </c>
      <c r="E136" s="13" t="s">
        <v>1</v>
      </c>
      <c r="F136" s="7" t="s">
        <v>33</v>
      </c>
      <c r="G136" s="8">
        <v>9.6999999999999993</v>
      </c>
      <c r="H136" s="7" t="s">
        <v>3</v>
      </c>
      <c r="I136" s="7">
        <v>300</v>
      </c>
      <c r="J136" s="7" t="s">
        <v>9</v>
      </c>
      <c r="K136" s="7" t="s">
        <v>289</v>
      </c>
      <c r="L136" s="7"/>
      <c r="M136" s="2"/>
      <c r="N136" s="2"/>
      <c r="O136" s="2"/>
      <c r="P136" s="2"/>
      <c r="Q136" s="2"/>
      <c r="R136" s="2"/>
      <c r="S136" s="2"/>
      <c r="T136" s="2"/>
      <c r="U136" s="2"/>
    </row>
    <row r="137" spans="4:21" x14ac:dyDescent="0.25">
      <c r="D137" s="7" t="s">
        <v>22</v>
      </c>
      <c r="E137" s="13" t="s">
        <v>15</v>
      </c>
      <c r="F137" s="7" t="s">
        <v>12</v>
      </c>
      <c r="G137" s="8">
        <v>8</v>
      </c>
      <c r="H137" s="7" t="s">
        <v>3</v>
      </c>
      <c r="I137" s="7">
        <v>30</v>
      </c>
      <c r="J137" s="7" t="s">
        <v>9</v>
      </c>
      <c r="K137" s="7" t="s">
        <v>289</v>
      </c>
      <c r="L137" s="7"/>
      <c r="M137" s="2"/>
      <c r="N137" s="2"/>
      <c r="O137" s="2"/>
      <c r="P137" s="2"/>
      <c r="Q137" s="2"/>
      <c r="R137" s="2"/>
      <c r="S137" s="2"/>
      <c r="T137" s="2"/>
      <c r="U137" s="2"/>
    </row>
    <row r="138" spans="4:21" x14ac:dyDescent="0.25">
      <c r="D138" s="7" t="s">
        <v>35</v>
      </c>
      <c r="E138" s="13" t="s">
        <v>1</v>
      </c>
      <c r="F138" s="7" t="s">
        <v>12</v>
      </c>
      <c r="G138" s="8">
        <v>1.85</v>
      </c>
      <c r="H138" s="7" t="s">
        <v>3</v>
      </c>
      <c r="I138" s="7">
        <v>26</v>
      </c>
      <c r="J138" s="7" t="s">
        <v>9</v>
      </c>
      <c r="K138" s="7" t="s">
        <v>289</v>
      </c>
      <c r="L138" s="7"/>
      <c r="M138" s="2"/>
      <c r="N138" s="2"/>
      <c r="O138" s="2"/>
      <c r="P138" s="2"/>
      <c r="Q138" s="2"/>
      <c r="R138" s="2"/>
      <c r="S138" s="2"/>
      <c r="T138" s="2"/>
      <c r="U138" s="2"/>
    </row>
    <row r="139" spans="4:21" x14ac:dyDescent="0.25">
      <c r="D139" s="7" t="s">
        <v>291</v>
      </c>
      <c r="E139" s="13" t="s">
        <v>1</v>
      </c>
      <c r="F139" s="7" t="s">
        <v>12</v>
      </c>
      <c r="G139" s="8">
        <v>2.69</v>
      </c>
      <c r="H139" s="7" t="s">
        <v>3</v>
      </c>
      <c r="I139" s="7">
        <v>26</v>
      </c>
      <c r="J139" s="7" t="s">
        <v>9</v>
      </c>
      <c r="K139" s="7" t="s">
        <v>289</v>
      </c>
      <c r="L139" s="7"/>
      <c r="M139" s="2"/>
      <c r="N139" s="2"/>
      <c r="O139" s="2"/>
      <c r="P139" s="2"/>
      <c r="Q139" s="2"/>
      <c r="R139" s="2"/>
      <c r="S139" s="2"/>
      <c r="T139" s="2"/>
      <c r="U139" s="2"/>
    </row>
    <row r="140" spans="4:21" x14ac:dyDescent="0.25">
      <c r="D140" s="7" t="s">
        <v>103</v>
      </c>
      <c r="E140" s="7" t="s">
        <v>1</v>
      </c>
      <c r="F140" s="7" t="s">
        <v>7</v>
      </c>
      <c r="G140" s="8">
        <v>7.4</v>
      </c>
      <c r="H140" s="7" t="s">
        <v>8</v>
      </c>
      <c r="I140" s="7">
        <v>180</v>
      </c>
      <c r="J140" s="7" t="s">
        <v>63</v>
      </c>
      <c r="K140" s="7" t="s">
        <v>289</v>
      </c>
      <c r="L140" s="2"/>
      <c r="M140" s="2"/>
      <c r="N140" s="2"/>
      <c r="O140" s="2"/>
      <c r="P140" s="2"/>
      <c r="Q140" s="2"/>
      <c r="R140" s="2"/>
      <c r="S140" s="2"/>
      <c r="T140" s="2"/>
      <c r="U140" s="2"/>
    </row>
    <row r="141" spans="4:21" x14ac:dyDescent="0.25">
      <c r="D141" s="7" t="s">
        <v>257</v>
      </c>
      <c r="E141" s="7" t="s">
        <v>1</v>
      </c>
      <c r="F141" s="7" t="s">
        <v>19</v>
      </c>
      <c r="G141" s="8">
        <v>3</v>
      </c>
      <c r="H141" s="7" t="s">
        <v>8</v>
      </c>
      <c r="I141" s="7">
        <v>16</v>
      </c>
      <c r="J141" s="7" t="s">
        <v>63</v>
      </c>
      <c r="K141" s="7" t="s">
        <v>289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</row>
    <row r="142" spans="4:21" x14ac:dyDescent="0.25">
      <c r="D142" s="7" t="s">
        <v>94</v>
      </c>
      <c r="E142" s="7" t="s">
        <v>1</v>
      </c>
      <c r="F142" s="7" t="s">
        <v>19</v>
      </c>
      <c r="G142" s="8">
        <v>68.040000000000006</v>
      </c>
      <c r="H142" s="7" t="s">
        <v>8</v>
      </c>
      <c r="I142" s="7">
        <v>338.14</v>
      </c>
      <c r="J142" s="7" t="s">
        <v>63</v>
      </c>
      <c r="K142" s="7" t="s">
        <v>289</v>
      </c>
      <c r="L142" s="2"/>
      <c r="M142" s="2"/>
      <c r="N142" s="2"/>
      <c r="O142" s="2"/>
      <c r="P142" s="2"/>
      <c r="Q142" s="2"/>
      <c r="R142" s="2"/>
      <c r="S142" s="2"/>
      <c r="T142" s="2"/>
      <c r="U142" s="2"/>
    </row>
    <row r="143" spans="4:21" x14ac:dyDescent="0.25">
      <c r="D143" s="7" t="s">
        <v>227</v>
      </c>
      <c r="E143" s="7" t="s">
        <v>1</v>
      </c>
      <c r="F143" s="7" t="s">
        <v>47</v>
      </c>
      <c r="G143" s="8">
        <v>5.14</v>
      </c>
      <c r="H143" s="7" t="s">
        <v>13</v>
      </c>
      <c r="I143" s="7">
        <v>110</v>
      </c>
      <c r="J143" s="7" t="s">
        <v>63</v>
      </c>
      <c r="K143" s="7" t="s">
        <v>289</v>
      </c>
      <c r="L143" s="2"/>
      <c r="M143" s="2"/>
      <c r="N143" s="2"/>
      <c r="O143" s="2"/>
      <c r="P143" s="2"/>
      <c r="Q143" s="2"/>
      <c r="R143" s="2"/>
      <c r="S143" s="2"/>
      <c r="T143" s="2"/>
      <c r="U143" s="2"/>
    </row>
    <row r="144" spans="4:21" x14ac:dyDescent="0.25">
      <c r="D144" s="7" t="s">
        <v>228</v>
      </c>
      <c r="E144" s="7" t="s">
        <v>1</v>
      </c>
      <c r="F144" s="7" t="s">
        <v>47</v>
      </c>
      <c r="G144" s="8">
        <v>7.34</v>
      </c>
      <c r="H144" s="7" t="s">
        <v>13</v>
      </c>
      <c r="I144" s="7">
        <v>55</v>
      </c>
      <c r="J144" s="7" t="s">
        <v>63</v>
      </c>
      <c r="K144" s="7" t="s">
        <v>289</v>
      </c>
      <c r="L144" s="2"/>
      <c r="M144" s="2"/>
      <c r="N144" s="2"/>
      <c r="O144" s="2"/>
      <c r="P144" s="2"/>
      <c r="Q144" s="2"/>
      <c r="R144" s="2"/>
      <c r="S144" s="2"/>
      <c r="T144" s="2"/>
      <c r="U144" s="2"/>
    </row>
    <row r="145" spans="4:21" x14ac:dyDescent="0.25">
      <c r="D145" s="7" t="s">
        <v>102</v>
      </c>
      <c r="E145" s="7" t="s">
        <v>1</v>
      </c>
      <c r="F145" s="7" t="s">
        <v>7</v>
      </c>
      <c r="G145" s="8">
        <v>10.14</v>
      </c>
      <c r="H145" s="7" t="s">
        <v>3</v>
      </c>
      <c r="I145" s="7">
        <v>2000</v>
      </c>
      <c r="J145" s="7" t="s">
        <v>63</v>
      </c>
      <c r="K145" s="7" t="s">
        <v>289</v>
      </c>
      <c r="L145" s="2"/>
      <c r="M145" s="2"/>
      <c r="N145" s="2"/>
      <c r="O145" s="2"/>
      <c r="P145" s="2"/>
      <c r="Q145" s="2"/>
      <c r="R145" s="2"/>
      <c r="S145" s="2"/>
      <c r="T145" s="2"/>
      <c r="U145" s="2"/>
    </row>
    <row r="146" spans="4:21" x14ac:dyDescent="0.25">
      <c r="D146" s="7" t="s">
        <v>211</v>
      </c>
      <c r="E146" s="7" t="s">
        <v>1</v>
      </c>
      <c r="F146" s="7" t="s">
        <v>12</v>
      </c>
      <c r="G146" s="8">
        <v>11.99</v>
      </c>
      <c r="H146" s="7" t="s">
        <v>13</v>
      </c>
      <c r="I146" s="7">
        <v>16</v>
      </c>
      <c r="J146" s="7" t="s">
        <v>63</v>
      </c>
      <c r="K146" s="7" t="s">
        <v>289</v>
      </c>
      <c r="L146" s="2"/>
      <c r="M146" s="2"/>
      <c r="N146" s="2"/>
      <c r="O146" s="2"/>
      <c r="P146" s="2"/>
      <c r="Q146" s="2"/>
      <c r="R146" s="2"/>
      <c r="S146" s="2"/>
      <c r="T146" s="2"/>
      <c r="U146" s="2"/>
    </row>
    <row r="147" spans="4:21" x14ac:dyDescent="0.25">
      <c r="D147" s="7" t="s">
        <v>44</v>
      </c>
      <c r="E147" s="7" t="s">
        <v>1</v>
      </c>
      <c r="F147" s="7" t="s">
        <v>19</v>
      </c>
      <c r="G147" s="8">
        <v>10.08</v>
      </c>
      <c r="H147" s="7" t="s">
        <v>13</v>
      </c>
      <c r="I147" s="7" t="s">
        <v>292</v>
      </c>
      <c r="J147" s="7" t="s">
        <v>63</v>
      </c>
      <c r="K147" s="7" t="s">
        <v>289</v>
      </c>
      <c r="L147" s="2"/>
      <c r="M147" s="2"/>
      <c r="N147" s="2"/>
      <c r="O147" s="2"/>
      <c r="P147" s="2"/>
      <c r="Q147" s="2"/>
      <c r="R147" s="2"/>
      <c r="S147" s="2"/>
      <c r="T147" s="2"/>
      <c r="U147" s="2"/>
    </row>
    <row r="148" spans="4:21" x14ac:dyDescent="0.25">
      <c r="D148" s="7" t="s">
        <v>206</v>
      </c>
      <c r="E148" s="7" t="s">
        <v>1</v>
      </c>
      <c r="F148" s="7" t="s">
        <v>12</v>
      </c>
      <c r="G148" s="8">
        <v>4.84</v>
      </c>
      <c r="H148" s="7" t="s">
        <v>13</v>
      </c>
      <c r="I148" s="7">
        <v>16</v>
      </c>
      <c r="J148" s="7" t="s">
        <v>63</v>
      </c>
      <c r="K148" s="7" t="s">
        <v>289</v>
      </c>
      <c r="L148" s="2"/>
      <c r="M148" s="2"/>
      <c r="N148" s="2"/>
      <c r="O148" s="2"/>
      <c r="P148" s="2"/>
      <c r="Q148" s="2"/>
      <c r="R148" s="2"/>
      <c r="S148" s="2"/>
      <c r="T148" s="2"/>
      <c r="U148" s="2"/>
    </row>
    <row r="149" spans="4:21" x14ac:dyDescent="0.25">
      <c r="D149" s="7" t="s">
        <v>232</v>
      </c>
      <c r="E149" s="7" t="s">
        <v>1</v>
      </c>
      <c r="F149" s="7" t="s">
        <v>47</v>
      </c>
      <c r="G149" s="8">
        <v>4.24</v>
      </c>
      <c r="H149" s="7" t="s">
        <v>13</v>
      </c>
      <c r="I149" s="7">
        <v>105</v>
      </c>
      <c r="J149" s="7" t="s">
        <v>63</v>
      </c>
      <c r="K149" s="7" t="s">
        <v>289</v>
      </c>
      <c r="L149" s="2"/>
      <c r="M149" s="2"/>
      <c r="N149" s="2"/>
      <c r="O149" s="2"/>
      <c r="P149" s="2"/>
      <c r="Q149" s="2"/>
      <c r="R149" s="2"/>
      <c r="S149" s="2"/>
      <c r="T149" s="2"/>
      <c r="U149" s="2"/>
    </row>
    <row r="150" spans="4:21" x14ac:dyDescent="0.25">
      <c r="D150" s="7" t="s">
        <v>95</v>
      </c>
      <c r="E150" s="7" t="s">
        <v>1</v>
      </c>
      <c r="F150" s="7" t="s">
        <v>19</v>
      </c>
      <c r="G150" s="8">
        <v>14.99</v>
      </c>
      <c r="H150" s="7" t="s">
        <v>8</v>
      </c>
      <c r="I150" s="7">
        <v>68</v>
      </c>
      <c r="J150" s="7" t="s">
        <v>63</v>
      </c>
      <c r="K150" s="7" t="s">
        <v>289</v>
      </c>
      <c r="L150" s="2"/>
      <c r="M150" s="2"/>
      <c r="N150" s="2"/>
      <c r="O150" s="2"/>
      <c r="P150" s="2"/>
      <c r="Q150" s="2"/>
      <c r="R150" s="2"/>
      <c r="S150" s="2"/>
      <c r="T150" s="2"/>
      <c r="U150" s="2"/>
    </row>
    <row r="151" spans="4:21" x14ac:dyDescent="0.25">
      <c r="D151" s="7" t="s">
        <v>105</v>
      </c>
      <c r="E151" s="7" t="s">
        <v>1</v>
      </c>
      <c r="F151" s="7" t="s">
        <v>12</v>
      </c>
      <c r="G151" s="8">
        <v>1.5</v>
      </c>
      <c r="H151" s="7" t="s">
        <v>8</v>
      </c>
      <c r="I151" s="7">
        <v>16</v>
      </c>
      <c r="J151" s="7" t="s">
        <v>63</v>
      </c>
      <c r="K151" s="7" t="s">
        <v>289</v>
      </c>
      <c r="L151" s="2"/>
      <c r="M151" s="2"/>
      <c r="N151" s="2"/>
      <c r="O151" s="2"/>
      <c r="P151" s="2"/>
      <c r="Q151" s="2"/>
      <c r="R151" s="2"/>
      <c r="S151" s="2"/>
      <c r="T151" s="2"/>
      <c r="U151" s="2"/>
    </row>
    <row r="152" spans="4:21" x14ac:dyDescent="0.25">
      <c r="D152" s="7" t="s">
        <v>237</v>
      </c>
      <c r="E152" s="7" t="s">
        <v>1</v>
      </c>
      <c r="F152" s="7" t="s">
        <v>19</v>
      </c>
      <c r="G152" s="8">
        <v>8.32</v>
      </c>
      <c r="H152" s="7"/>
      <c r="I152" s="7"/>
      <c r="J152" s="7" t="s">
        <v>63</v>
      </c>
      <c r="K152" s="7" t="s">
        <v>289</v>
      </c>
      <c r="L152" s="2"/>
      <c r="M152" s="2"/>
      <c r="N152" s="2"/>
      <c r="O152" s="2"/>
      <c r="P152" s="2"/>
      <c r="Q152" s="2"/>
      <c r="R152" s="2"/>
      <c r="S152" s="2"/>
      <c r="T152" s="2"/>
      <c r="U152" s="2"/>
    </row>
    <row r="153" spans="4:21" x14ac:dyDescent="0.25">
      <c r="D153" s="7" t="s">
        <v>239</v>
      </c>
      <c r="E153" s="7" t="s">
        <v>1</v>
      </c>
      <c r="F153" s="7" t="s">
        <v>47</v>
      </c>
      <c r="G153" s="8">
        <v>7.4</v>
      </c>
      <c r="H153" s="7" t="s">
        <v>13</v>
      </c>
      <c r="I153" s="7">
        <v>58</v>
      </c>
      <c r="J153" s="7" t="s">
        <v>63</v>
      </c>
      <c r="K153" s="7" t="s">
        <v>289</v>
      </c>
      <c r="L153" s="2"/>
      <c r="M153" s="2"/>
      <c r="N153" s="2"/>
      <c r="O153" s="2"/>
      <c r="P153" s="2"/>
      <c r="Q153" s="2"/>
      <c r="R153" s="2"/>
      <c r="S153" s="2"/>
      <c r="T153" s="2"/>
      <c r="U153" s="2"/>
    </row>
    <row r="154" spans="4:21" x14ac:dyDescent="0.25">
      <c r="D154" s="7" t="s">
        <v>107</v>
      </c>
      <c r="E154" s="7" t="s">
        <v>1</v>
      </c>
      <c r="F154" s="7" t="s">
        <v>19</v>
      </c>
      <c r="G154" s="8">
        <v>3</v>
      </c>
      <c r="H154" s="7" t="s">
        <v>8</v>
      </c>
      <c r="I154" s="7">
        <v>12</v>
      </c>
      <c r="J154" s="7" t="s">
        <v>63</v>
      </c>
      <c r="K154" s="7" t="s">
        <v>289</v>
      </c>
      <c r="L154" s="2"/>
      <c r="M154" s="2"/>
      <c r="N154" s="2"/>
      <c r="O154" s="2"/>
      <c r="P154" s="2"/>
      <c r="Q154" s="2"/>
      <c r="R154" s="2"/>
      <c r="S154" s="2"/>
      <c r="T154" s="2"/>
      <c r="U154" s="2"/>
    </row>
    <row r="155" spans="4:21" x14ac:dyDescent="0.25">
      <c r="D155" s="7" t="s">
        <v>108</v>
      </c>
      <c r="E155" s="7" t="s">
        <v>1</v>
      </c>
      <c r="F155" s="7" t="s">
        <v>19</v>
      </c>
      <c r="G155" s="8">
        <v>6</v>
      </c>
      <c r="H155" s="7" t="s">
        <v>13</v>
      </c>
      <c r="I155" s="7">
        <v>105</v>
      </c>
      <c r="J155" s="7" t="s">
        <v>63</v>
      </c>
      <c r="K155" s="7" t="s">
        <v>289</v>
      </c>
      <c r="L155" s="2"/>
      <c r="M155" s="2"/>
      <c r="N155" s="2"/>
      <c r="O155" s="2"/>
      <c r="P155" s="2"/>
      <c r="Q155" s="2"/>
      <c r="R155" s="2"/>
      <c r="S155" s="2"/>
      <c r="T155" s="2"/>
      <c r="U155" s="2"/>
    </row>
    <row r="156" spans="4:21" x14ac:dyDescent="0.25">
      <c r="D156" s="7" t="s">
        <v>132</v>
      </c>
      <c r="E156" s="7" t="s">
        <v>1</v>
      </c>
      <c r="F156" s="7" t="s">
        <v>33</v>
      </c>
      <c r="G156" s="8">
        <v>3.72</v>
      </c>
      <c r="H156" s="7" t="s">
        <v>13</v>
      </c>
      <c r="I156" s="7">
        <v>42</v>
      </c>
      <c r="J156" s="7" t="s">
        <v>63</v>
      </c>
      <c r="K156" s="7" t="s">
        <v>289</v>
      </c>
      <c r="L156" s="2"/>
      <c r="M156" s="2"/>
      <c r="N156" s="2"/>
      <c r="O156" s="2"/>
      <c r="P156" s="2"/>
      <c r="Q156" s="2"/>
      <c r="R156" s="2"/>
      <c r="S156" s="2"/>
      <c r="T156" s="2"/>
      <c r="U156" s="2"/>
    </row>
    <row r="157" spans="4:21" x14ac:dyDescent="0.25">
      <c r="D157" s="7" t="s">
        <v>133</v>
      </c>
      <c r="E157" s="7" t="s">
        <v>31</v>
      </c>
      <c r="F157" s="7" t="s">
        <v>12</v>
      </c>
      <c r="G157" s="8">
        <v>9.81</v>
      </c>
      <c r="H157" s="7" t="s">
        <v>13</v>
      </c>
      <c r="I157" s="7">
        <v>80</v>
      </c>
      <c r="J157" s="7" t="s">
        <v>63</v>
      </c>
      <c r="K157" s="7" t="s">
        <v>289</v>
      </c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 spans="4:21" x14ac:dyDescent="0.25">
      <c r="D158" s="7" t="s">
        <v>244</v>
      </c>
      <c r="E158" s="7" t="s">
        <v>1</v>
      </c>
      <c r="F158" s="7" t="s">
        <v>19</v>
      </c>
      <c r="G158" s="8"/>
      <c r="H158" s="7"/>
      <c r="I158" s="7"/>
      <c r="J158" s="7" t="s">
        <v>63</v>
      </c>
      <c r="K158" s="7" t="s">
        <v>289</v>
      </c>
      <c r="L158" s="2"/>
      <c r="M158" s="2"/>
      <c r="N158" s="2"/>
      <c r="O158" s="2"/>
      <c r="P158" s="2"/>
      <c r="Q158" s="2"/>
      <c r="R158" s="2"/>
      <c r="S158" s="2"/>
      <c r="T158" s="2"/>
      <c r="U158" s="2"/>
    </row>
    <row r="159" spans="4:21" x14ac:dyDescent="0.25">
      <c r="D159" s="7" t="s">
        <v>99</v>
      </c>
      <c r="E159" s="7" t="s">
        <v>100</v>
      </c>
      <c r="F159" s="7" t="s">
        <v>12</v>
      </c>
      <c r="G159" s="8">
        <v>11</v>
      </c>
      <c r="H159" s="7" t="s">
        <v>13</v>
      </c>
      <c r="I159" s="7">
        <f>4.5*16</f>
        <v>72</v>
      </c>
      <c r="J159" s="7" t="s">
        <v>63</v>
      </c>
      <c r="K159" s="7" t="s">
        <v>289</v>
      </c>
      <c r="L159" s="2"/>
      <c r="M159" s="2"/>
      <c r="N159" s="2"/>
      <c r="O159" s="2"/>
      <c r="P159" s="2"/>
      <c r="Q159" s="2"/>
      <c r="R159" s="2"/>
      <c r="S159" s="2"/>
      <c r="T159" s="2"/>
      <c r="U159" s="2"/>
    </row>
    <row r="160" spans="4:21" x14ac:dyDescent="0.25">
      <c r="D160" s="7" t="s">
        <v>119</v>
      </c>
      <c r="E160" s="7" t="s">
        <v>1</v>
      </c>
      <c r="F160" s="7" t="s">
        <v>12</v>
      </c>
      <c r="G160" s="8">
        <v>5</v>
      </c>
      <c r="H160" s="7" t="s">
        <v>13</v>
      </c>
      <c r="I160" s="7">
        <v>16</v>
      </c>
      <c r="J160" s="7" t="s">
        <v>63</v>
      </c>
      <c r="K160" s="7" t="s">
        <v>289</v>
      </c>
      <c r="L160" s="2"/>
      <c r="M160" s="2"/>
      <c r="N160" s="2"/>
      <c r="O160" s="2"/>
      <c r="P160" s="2"/>
      <c r="Q160" s="2"/>
      <c r="R160" s="2"/>
      <c r="S160" s="2"/>
      <c r="T160" s="2"/>
      <c r="U160" s="2"/>
    </row>
    <row r="161" spans="4:21" x14ac:dyDescent="0.25">
      <c r="D161" s="7" t="s">
        <v>121</v>
      </c>
      <c r="E161" s="7" t="s">
        <v>1</v>
      </c>
      <c r="F161" s="7" t="s">
        <v>19</v>
      </c>
      <c r="G161" s="8">
        <v>8.99</v>
      </c>
      <c r="H161" s="7" t="s">
        <v>8</v>
      </c>
      <c r="I161" s="7">
        <v>16</v>
      </c>
      <c r="J161" s="7" t="s">
        <v>63</v>
      </c>
      <c r="K161" s="7" t="s">
        <v>289</v>
      </c>
      <c r="L161" s="2"/>
      <c r="M161" s="2"/>
      <c r="N161" s="2"/>
      <c r="O161" s="2"/>
      <c r="P161" s="2"/>
      <c r="Q161" s="2"/>
      <c r="R161" s="2"/>
      <c r="S161" s="2"/>
      <c r="T161" s="2"/>
      <c r="U161" s="2"/>
    </row>
    <row r="162" spans="4:21" x14ac:dyDescent="0.25">
      <c r="D162" s="7" t="s">
        <v>111</v>
      </c>
      <c r="E162" s="7" t="s">
        <v>1</v>
      </c>
      <c r="F162" s="7" t="s">
        <v>7</v>
      </c>
      <c r="G162" s="8"/>
      <c r="H162" s="7"/>
      <c r="I162" s="7"/>
      <c r="J162" s="7" t="s">
        <v>63</v>
      </c>
      <c r="K162" s="7" t="s">
        <v>289</v>
      </c>
      <c r="L162" s="2"/>
      <c r="M162" s="2"/>
      <c r="N162" s="2"/>
      <c r="O162" s="2"/>
      <c r="P162" s="2"/>
      <c r="Q162" s="2"/>
      <c r="R162" s="2"/>
      <c r="S162" s="2"/>
      <c r="T162" s="2"/>
      <c r="U162" s="2"/>
    </row>
    <row r="163" spans="4:21" x14ac:dyDescent="0.25">
      <c r="D163" s="7" t="s">
        <v>101</v>
      </c>
      <c r="E163" s="7" t="s">
        <v>1</v>
      </c>
      <c r="F163" s="7" t="s">
        <v>33</v>
      </c>
      <c r="G163" s="8">
        <v>17</v>
      </c>
      <c r="H163" s="7"/>
      <c r="I163" s="7"/>
      <c r="J163" s="7" t="s">
        <v>63</v>
      </c>
      <c r="K163" s="7" t="s">
        <v>289</v>
      </c>
      <c r="L163" s="2"/>
      <c r="M163" s="2"/>
      <c r="N163" s="2"/>
      <c r="O163" s="2"/>
      <c r="P163" s="2"/>
      <c r="Q163" s="2"/>
      <c r="R163" s="2"/>
      <c r="S163" s="2"/>
      <c r="T163" s="2"/>
      <c r="U163" s="2"/>
    </row>
    <row r="164" spans="4:21" x14ac:dyDescent="0.25">
      <c r="D164" s="7" t="s">
        <v>259</v>
      </c>
      <c r="E164" s="7" t="s">
        <v>1</v>
      </c>
      <c r="F164" s="7" t="s">
        <v>0</v>
      </c>
      <c r="G164" s="8">
        <v>3.48</v>
      </c>
      <c r="H164" s="7" t="s">
        <v>13</v>
      </c>
      <c r="I164" s="7">
        <v>30</v>
      </c>
      <c r="J164" s="7" t="s">
        <v>63</v>
      </c>
      <c r="K164" s="7" t="s">
        <v>289</v>
      </c>
      <c r="L164" s="2"/>
      <c r="M164" s="2"/>
      <c r="N164" s="2"/>
      <c r="O164" s="2"/>
      <c r="P164" s="2"/>
      <c r="Q164" s="2"/>
      <c r="R164" s="2"/>
      <c r="S164" s="2"/>
      <c r="T164" s="2"/>
      <c r="U164" s="2"/>
    </row>
    <row r="165" spans="4:21" x14ac:dyDescent="0.25">
      <c r="D165" s="7" t="s">
        <v>114</v>
      </c>
      <c r="E165" s="7" t="s">
        <v>115</v>
      </c>
      <c r="F165" s="7" t="s">
        <v>12</v>
      </c>
      <c r="G165" s="8">
        <v>17.96</v>
      </c>
      <c r="H165" s="7" t="s">
        <v>13</v>
      </c>
      <c r="I165" s="7">
        <v>560</v>
      </c>
      <c r="J165" s="7" t="s">
        <v>63</v>
      </c>
      <c r="K165" s="7" t="s">
        <v>289</v>
      </c>
      <c r="L165" s="2"/>
      <c r="M165" s="2"/>
      <c r="N165" s="2"/>
      <c r="O165" s="2"/>
      <c r="P165" s="2"/>
      <c r="Q165" s="2"/>
      <c r="R165" s="2"/>
      <c r="S165" s="2"/>
      <c r="T165" s="2"/>
      <c r="U165" s="2"/>
    </row>
    <row r="166" spans="4:21" x14ac:dyDescent="0.25">
      <c r="D166" s="7" t="s">
        <v>116</v>
      </c>
      <c r="E166" s="7" t="s">
        <v>1</v>
      </c>
      <c r="F166" s="7" t="s">
        <v>19</v>
      </c>
      <c r="G166" s="8">
        <v>3.65</v>
      </c>
      <c r="H166" s="7" t="s">
        <v>8</v>
      </c>
      <c r="I166" s="7">
        <v>128</v>
      </c>
      <c r="J166" s="7" t="s">
        <v>63</v>
      </c>
      <c r="K166" s="7" t="s">
        <v>289</v>
      </c>
      <c r="L166" s="2"/>
      <c r="M166" s="2"/>
      <c r="N166" s="2"/>
      <c r="O166" s="2"/>
      <c r="P166" s="2"/>
      <c r="Q166" s="2"/>
      <c r="R166" s="2"/>
      <c r="S166" s="2"/>
      <c r="T166" s="2"/>
      <c r="U166" s="2"/>
    </row>
    <row r="167" spans="4:21" x14ac:dyDescent="0.25">
      <c r="D167" s="7" t="s">
        <v>32</v>
      </c>
      <c r="E167" s="7" t="s">
        <v>1</v>
      </c>
      <c r="F167" s="7" t="s">
        <v>12</v>
      </c>
      <c r="G167" s="8">
        <v>4.2</v>
      </c>
      <c r="H167" s="7" t="s">
        <v>13</v>
      </c>
      <c r="I167" s="7">
        <v>16</v>
      </c>
      <c r="J167" s="7" t="s">
        <v>14</v>
      </c>
      <c r="K167" s="7" t="s">
        <v>289</v>
      </c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 spans="4:21" x14ac:dyDescent="0.25">
      <c r="D168" s="7" t="s">
        <v>254</v>
      </c>
      <c r="E168" s="7" t="s">
        <v>1</v>
      </c>
      <c r="F168" s="7" t="s">
        <v>7</v>
      </c>
      <c r="G168" s="8">
        <v>125</v>
      </c>
      <c r="H168" s="7" t="s">
        <v>3</v>
      </c>
      <c r="I168" s="7">
        <v>40</v>
      </c>
      <c r="J168" s="7" t="s">
        <v>14</v>
      </c>
      <c r="K168" s="7" t="s">
        <v>289</v>
      </c>
      <c r="L168" s="2"/>
      <c r="M168" s="2"/>
      <c r="N168" s="2"/>
      <c r="O168" s="2"/>
      <c r="P168" s="2"/>
      <c r="Q168" s="2"/>
      <c r="R168" s="2"/>
      <c r="S168" s="2"/>
      <c r="T168" s="2"/>
      <c r="U168" s="2"/>
    </row>
    <row r="169" spans="4:21" x14ac:dyDescent="0.25">
      <c r="D169" s="7" t="s">
        <v>34</v>
      </c>
      <c r="E169" s="7" t="s">
        <v>1</v>
      </c>
      <c r="F169" s="7" t="s">
        <v>12</v>
      </c>
      <c r="G169" s="8">
        <v>5.78</v>
      </c>
      <c r="H169" s="7" t="s">
        <v>13</v>
      </c>
      <c r="I169" s="7">
        <v>16</v>
      </c>
      <c r="J169" s="7" t="s">
        <v>14</v>
      </c>
      <c r="K169" s="7" t="s">
        <v>289</v>
      </c>
      <c r="L169" s="2"/>
      <c r="M169" s="2"/>
      <c r="N169" s="2"/>
      <c r="O169" s="2"/>
      <c r="P169" s="2"/>
      <c r="Q169" s="2"/>
      <c r="R169" s="2"/>
      <c r="S169" s="2"/>
      <c r="T169" s="2"/>
      <c r="U169" s="2"/>
    </row>
    <row r="170" spans="4:21" x14ac:dyDescent="0.25">
      <c r="D170" s="7" t="s">
        <v>37</v>
      </c>
      <c r="E170" s="7" t="s">
        <v>1</v>
      </c>
      <c r="F170" s="7" t="s">
        <v>12</v>
      </c>
      <c r="G170" s="8">
        <v>2.64</v>
      </c>
      <c r="H170" s="7" t="s">
        <v>13</v>
      </c>
      <c r="I170" s="7">
        <v>16</v>
      </c>
      <c r="J170" s="7" t="s">
        <v>14</v>
      </c>
      <c r="K170" s="7" t="s">
        <v>289</v>
      </c>
      <c r="L170" s="2"/>
      <c r="M170" s="2"/>
      <c r="N170" s="2"/>
      <c r="O170" s="2"/>
      <c r="P170" s="2"/>
      <c r="Q170" s="2"/>
      <c r="R170" s="2"/>
      <c r="S170" s="2"/>
      <c r="T170" s="2"/>
      <c r="U170" s="2"/>
    </row>
    <row r="171" spans="4:21" x14ac:dyDescent="0.25">
      <c r="D171" s="7" t="s">
        <v>43</v>
      </c>
      <c r="E171" s="7" t="s">
        <v>11</v>
      </c>
      <c r="F171" s="7" t="s">
        <v>12</v>
      </c>
      <c r="G171" s="8">
        <v>39.299999999999997</v>
      </c>
      <c r="H171" s="7" t="s">
        <v>13</v>
      </c>
      <c r="I171" s="7">
        <v>140</v>
      </c>
      <c r="J171" s="7" t="s">
        <v>42</v>
      </c>
      <c r="K171" s="7" t="s">
        <v>289</v>
      </c>
      <c r="L171" s="2"/>
      <c r="M171" s="2"/>
      <c r="N171" s="2"/>
      <c r="O171" s="2"/>
      <c r="P171" s="2"/>
      <c r="Q171" s="2"/>
      <c r="R171" s="2"/>
      <c r="S171" s="2"/>
      <c r="T171" s="2"/>
      <c r="U171" s="2"/>
    </row>
    <row r="172" spans="4:21" x14ac:dyDescent="0.25">
      <c r="D172" s="7" t="s">
        <v>41</v>
      </c>
      <c r="E172" s="7" t="s">
        <v>1</v>
      </c>
      <c r="F172" s="7" t="s">
        <v>12</v>
      </c>
      <c r="G172" s="8">
        <v>2.2400000000000002</v>
      </c>
      <c r="H172" s="7" t="s">
        <v>13</v>
      </c>
      <c r="I172" s="7">
        <v>16</v>
      </c>
      <c r="J172" s="7" t="s">
        <v>42</v>
      </c>
      <c r="K172" s="7" t="s">
        <v>289</v>
      </c>
      <c r="L172" s="2"/>
      <c r="M172" s="2"/>
      <c r="N172" s="2"/>
      <c r="O172" s="2"/>
      <c r="P172" s="2"/>
      <c r="Q172" s="2"/>
      <c r="R172" s="2"/>
      <c r="S172" s="2"/>
      <c r="T172" s="2"/>
      <c r="U172" s="2"/>
    </row>
    <row r="173" spans="4:21" x14ac:dyDescent="0.25">
      <c r="D173" s="7" t="s">
        <v>223</v>
      </c>
      <c r="E173" s="13" t="s">
        <v>1</v>
      </c>
      <c r="F173" s="7" t="s">
        <v>7</v>
      </c>
      <c r="G173" s="8">
        <v>42.39</v>
      </c>
      <c r="H173" s="7" t="s">
        <v>3</v>
      </c>
      <c r="I173" s="7" t="s">
        <v>293</v>
      </c>
      <c r="J173" s="7" t="s">
        <v>60</v>
      </c>
      <c r="K173" s="7" t="s">
        <v>289</v>
      </c>
      <c r="L173" s="7"/>
      <c r="M173" s="2"/>
      <c r="N173" s="2"/>
      <c r="O173" s="2"/>
      <c r="P173" s="2"/>
      <c r="Q173" s="2"/>
      <c r="R173" s="2"/>
      <c r="S173" s="2"/>
      <c r="T173" s="2"/>
      <c r="U173" s="2"/>
    </row>
    <row r="174" spans="4:21" x14ac:dyDescent="0.25">
      <c r="D174" s="7" t="s">
        <v>224</v>
      </c>
      <c r="E174" s="13" t="s">
        <v>225</v>
      </c>
      <c r="F174" s="7" t="s">
        <v>12</v>
      </c>
      <c r="G174" s="8">
        <v>15</v>
      </c>
      <c r="H174" s="7" t="s">
        <v>13</v>
      </c>
      <c r="I174" s="7">
        <f>25*16</f>
        <v>400</v>
      </c>
      <c r="J174" s="7" t="s">
        <v>60</v>
      </c>
      <c r="K174" s="7" t="s">
        <v>289</v>
      </c>
      <c r="L174" s="7"/>
      <c r="M174" s="2"/>
      <c r="N174" s="2"/>
      <c r="O174" s="2"/>
      <c r="P174" s="2"/>
      <c r="Q174" s="2"/>
      <c r="R174" s="2"/>
      <c r="S174" s="2"/>
      <c r="T174" s="2"/>
      <c r="U174" s="2"/>
    </row>
    <row r="175" spans="4:21" x14ac:dyDescent="0.25">
      <c r="D175" s="7" t="s">
        <v>226</v>
      </c>
      <c r="E175" s="13" t="s">
        <v>1</v>
      </c>
      <c r="F175" s="7" t="s">
        <v>7</v>
      </c>
      <c r="G175" s="8">
        <v>15.11</v>
      </c>
      <c r="H175" s="7" t="s">
        <v>3</v>
      </c>
      <c r="I175" s="7">
        <v>10</v>
      </c>
      <c r="J175" s="7" t="s">
        <v>60</v>
      </c>
      <c r="K175" s="7" t="s">
        <v>289</v>
      </c>
      <c r="L175" s="7"/>
      <c r="M175" s="2"/>
      <c r="N175" s="2"/>
      <c r="O175" s="2"/>
      <c r="P175" s="2"/>
      <c r="Q175" s="2"/>
      <c r="R175" s="2"/>
      <c r="S175" s="2"/>
      <c r="T175" s="2"/>
      <c r="U175" s="2"/>
    </row>
    <row r="176" spans="4:21" x14ac:dyDescent="0.25">
      <c r="D176" s="7" t="s">
        <v>229</v>
      </c>
      <c r="E176" s="13" t="s">
        <v>1</v>
      </c>
      <c r="F176" s="7" t="s">
        <v>62</v>
      </c>
      <c r="G176" s="8">
        <v>23</v>
      </c>
      <c r="H176" s="7" t="s">
        <v>13</v>
      </c>
      <c r="I176" s="7">
        <f>50*16</f>
        <v>800</v>
      </c>
      <c r="J176" s="7" t="s">
        <v>60</v>
      </c>
      <c r="K176" s="7" t="s">
        <v>289</v>
      </c>
      <c r="L176" s="7"/>
      <c r="M176" s="2"/>
      <c r="N176" s="2"/>
      <c r="O176" s="2"/>
      <c r="P176" s="2"/>
      <c r="Q176" s="2"/>
      <c r="R176" s="2"/>
      <c r="S176" s="2"/>
      <c r="T176" s="2"/>
      <c r="U176" s="2"/>
    </row>
    <row r="177" spans="4:21" x14ac:dyDescent="0.25">
      <c r="D177" s="7" t="s">
        <v>230</v>
      </c>
      <c r="E177" s="13" t="s">
        <v>1</v>
      </c>
      <c r="F177" s="7" t="s">
        <v>21</v>
      </c>
      <c r="G177" s="8">
        <v>2.6</v>
      </c>
      <c r="H177" s="7" t="s">
        <v>3</v>
      </c>
      <c r="I177" s="7">
        <v>20</v>
      </c>
      <c r="J177" s="7" t="s">
        <v>60</v>
      </c>
      <c r="K177" s="7" t="s">
        <v>289</v>
      </c>
      <c r="L177" s="7"/>
      <c r="M177" s="2"/>
      <c r="N177" s="2"/>
      <c r="O177" s="2"/>
      <c r="P177" s="2"/>
      <c r="Q177" s="2"/>
      <c r="R177" s="2"/>
      <c r="S177" s="2"/>
      <c r="T177" s="2"/>
      <c r="U177" s="2"/>
    </row>
    <row r="178" spans="4:21" x14ac:dyDescent="0.25">
      <c r="D178" s="7" t="s">
        <v>234</v>
      </c>
      <c r="E178" s="13" t="s">
        <v>1</v>
      </c>
      <c r="F178" s="7" t="s">
        <v>7</v>
      </c>
      <c r="G178" s="8">
        <v>11.4</v>
      </c>
      <c r="H178" s="7" t="s">
        <v>3</v>
      </c>
      <c r="I178" s="7">
        <v>24</v>
      </c>
      <c r="J178" s="7" t="s">
        <v>60</v>
      </c>
      <c r="K178" s="7" t="s">
        <v>289</v>
      </c>
      <c r="L178" s="7"/>
      <c r="M178" s="2"/>
      <c r="N178" s="2"/>
      <c r="O178" s="2"/>
      <c r="P178" s="2"/>
      <c r="Q178" s="2"/>
      <c r="R178" s="2"/>
      <c r="S178" s="2"/>
      <c r="T178" s="2"/>
      <c r="U178" s="2"/>
    </row>
    <row r="179" spans="4:21" x14ac:dyDescent="0.25">
      <c r="D179" s="7" t="s">
        <v>235</v>
      </c>
      <c r="E179" s="13" t="s">
        <v>1</v>
      </c>
      <c r="F179" s="7" t="s">
        <v>33</v>
      </c>
      <c r="G179" s="8">
        <v>2</v>
      </c>
      <c r="H179" s="7" t="s">
        <v>3</v>
      </c>
      <c r="I179" s="7">
        <v>15</v>
      </c>
      <c r="J179" s="7" t="s">
        <v>60</v>
      </c>
      <c r="K179" s="7" t="s">
        <v>289</v>
      </c>
      <c r="L179" s="7"/>
      <c r="M179" s="2"/>
      <c r="N179" s="2"/>
      <c r="O179" s="2"/>
      <c r="P179" s="2"/>
      <c r="Q179" s="2"/>
      <c r="R179" s="2"/>
      <c r="S179" s="2"/>
      <c r="T179" s="2"/>
      <c r="U179" s="2"/>
    </row>
    <row r="180" spans="4:21" x14ac:dyDescent="0.25">
      <c r="D180" s="7" t="s">
        <v>236</v>
      </c>
      <c r="E180" s="13" t="s">
        <v>1</v>
      </c>
      <c r="F180" s="7" t="s">
        <v>33</v>
      </c>
      <c r="G180" s="8">
        <v>28</v>
      </c>
      <c r="H180" s="7" t="s">
        <v>13</v>
      </c>
      <c r="I180" s="7">
        <f>30*16</f>
        <v>480</v>
      </c>
      <c r="J180" s="7" t="s">
        <v>60</v>
      </c>
      <c r="K180" s="7" t="s">
        <v>289</v>
      </c>
      <c r="L180" s="7"/>
      <c r="M180" s="2"/>
      <c r="N180" s="2"/>
      <c r="O180" s="2"/>
      <c r="P180" s="2"/>
      <c r="Q180" s="2"/>
      <c r="R180" s="2"/>
      <c r="S180" s="2"/>
      <c r="T180" s="2"/>
      <c r="U180" s="2"/>
    </row>
    <row r="181" spans="4:21" x14ac:dyDescent="0.25">
      <c r="D181" s="7" t="s">
        <v>89</v>
      </c>
      <c r="E181" s="13" t="s">
        <v>1</v>
      </c>
      <c r="F181" s="7" t="s">
        <v>33</v>
      </c>
      <c r="G181" s="8">
        <v>19</v>
      </c>
      <c r="H181" s="7" t="s">
        <v>3</v>
      </c>
      <c r="I181" s="7">
        <v>50</v>
      </c>
      <c r="J181" s="7" t="s">
        <v>60</v>
      </c>
      <c r="K181" s="7" t="s">
        <v>289</v>
      </c>
      <c r="L181" s="7"/>
      <c r="M181" s="2"/>
      <c r="N181" s="2"/>
      <c r="O181" s="2"/>
      <c r="P181" s="2"/>
      <c r="Q181" s="2"/>
      <c r="R181" s="2"/>
      <c r="S181" s="2"/>
      <c r="T181" s="2"/>
      <c r="U181" s="2"/>
    </row>
    <row r="182" spans="4:21" x14ac:dyDescent="0.25">
      <c r="D182" s="7" t="s">
        <v>69</v>
      </c>
      <c r="E182" s="13" t="s">
        <v>1</v>
      </c>
      <c r="F182" s="7" t="s">
        <v>7</v>
      </c>
      <c r="G182" s="8">
        <v>46.52</v>
      </c>
      <c r="H182" s="7" t="s">
        <v>3</v>
      </c>
      <c r="I182" s="7">
        <v>85</v>
      </c>
      <c r="J182" s="7" t="s">
        <v>60</v>
      </c>
      <c r="K182" s="7" t="s">
        <v>289</v>
      </c>
      <c r="L182" s="7"/>
      <c r="M182" s="2"/>
      <c r="N182" s="2"/>
      <c r="O182" s="2"/>
      <c r="P182" s="2"/>
      <c r="Q182" s="2"/>
      <c r="R182" s="2"/>
      <c r="S182" s="2"/>
      <c r="T182" s="2"/>
      <c r="U182" s="2"/>
    </row>
    <row r="183" spans="4:21" x14ac:dyDescent="0.25">
      <c r="D183" s="7" t="s">
        <v>249</v>
      </c>
      <c r="E183" s="13" t="s">
        <v>1</v>
      </c>
      <c r="F183" s="7" t="s">
        <v>91</v>
      </c>
      <c r="G183" s="8">
        <v>1.5</v>
      </c>
      <c r="H183" s="7" t="s">
        <v>3</v>
      </c>
      <c r="I183" s="7">
        <v>3</v>
      </c>
      <c r="J183" s="7" t="s">
        <v>60</v>
      </c>
      <c r="K183" s="7" t="s">
        <v>289</v>
      </c>
      <c r="L183" s="7"/>
      <c r="M183" s="2"/>
      <c r="N183" s="2"/>
      <c r="O183" s="2"/>
      <c r="P183" s="2"/>
      <c r="Q183" s="2"/>
      <c r="R183" s="2"/>
      <c r="S183" s="2"/>
      <c r="T183" s="2"/>
      <c r="U183" s="2"/>
    </row>
    <row r="184" spans="4:21" x14ac:dyDescent="0.25">
      <c r="D184" s="7" t="s">
        <v>238</v>
      </c>
      <c r="E184" s="13" t="s">
        <v>1</v>
      </c>
      <c r="F184" s="7" t="s">
        <v>33</v>
      </c>
      <c r="G184" s="8">
        <v>31</v>
      </c>
      <c r="H184" s="7" t="s">
        <v>13</v>
      </c>
      <c r="I184" s="7">
        <f>20*16</f>
        <v>320</v>
      </c>
      <c r="J184" s="7" t="s">
        <v>60</v>
      </c>
      <c r="K184" s="7" t="s">
        <v>289</v>
      </c>
      <c r="L184" s="7"/>
      <c r="M184" s="2"/>
      <c r="N184" s="2"/>
      <c r="O184" s="2"/>
      <c r="P184" s="2"/>
      <c r="Q184" s="2"/>
      <c r="R184" s="2"/>
      <c r="S184" s="2"/>
      <c r="T184" s="2"/>
      <c r="U184" s="2"/>
    </row>
    <row r="185" spans="4:21" x14ac:dyDescent="0.25">
      <c r="D185" s="7" t="s">
        <v>71</v>
      </c>
      <c r="E185" s="13" t="s">
        <v>1</v>
      </c>
      <c r="F185" s="7" t="s">
        <v>23</v>
      </c>
      <c r="G185" s="8">
        <v>0.5</v>
      </c>
      <c r="H185" s="7" t="s">
        <v>3</v>
      </c>
      <c r="I185" s="7">
        <v>1</v>
      </c>
      <c r="J185" s="7" t="s">
        <v>60</v>
      </c>
      <c r="K185" s="7" t="s">
        <v>289</v>
      </c>
      <c r="L185" s="7"/>
      <c r="M185" s="2"/>
      <c r="N185" s="2"/>
      <c r="O185" s="2"/>
      <c r="P185" s="2"/>
      <c r="Q185" s="2"/>
      <c r="R185" s="2"/>
      <c r="S185" s="2"/>
      <c r="T185" s="2"/>
      <c r="U185" s="2"/>
    </row>
    <row r="186" spans="4:21" x14ac:dyDescent="0.25">
      <c r="D186" s="7" t="s">
        <v>72</v>
      </c>
      <c r="E186" s="13" t="s">
        <v>1</v>
      </c>
      <c r="F186" s="7" t="s">
        <v>33</v>
      </c>
      <c r="G186" s="8">
        <v>52</v>
      </c>
      <c r="H186" s="7" t="s">
        <v>3</v>
      </c>
      <c r="I186" s="7">
        <v>165</v>
      </c>
      <c r="J186" s="7" t="s">
        <v>60</v>
      </c>
      <c r="K186" s="7" t="s">
        <v>289</v>
      </c>
      <c r="L186" s="7"/>
      <c r="M186" s="2"/>
      <c r="N186" s="2"/>
      <c r="O186" s="2"/>
      <c r="P186" s="2"/>
      <c r="Q186" s="2"/>
      <c r="R186" s="2"/>
      <c r="S186" s="2"/>
      <c r="T186" s="2"/>
      <c r="U186" s="2"/>
    </row>
    <row r="187" spans="4:21" x14ac:dyDescent="0.25">
      <c r="D187" s="7" t="s">
        <v>64</v>
      </c>
      <c r="E187" s="13" t="s">
        <v>1</v>
      </c>
      <c r="F187" s="7" t="s">
        <v>33</v>
      </c>
      <c r="G187" s="8">
        <v>5.99</v>
      </c>
      <c r="H187" s="7" t="s">
        <v>13</v>
      </c>
      <c r="I187" s="7">
        <v>57</v>
      </c>
      <c r="J187" s="7" t="s">
        <v>60</v>
      </c>
      <c r="K187" s="7" t="s">
        <v>289</v>
      </c>
      <c r="L187" s="7"/>
      <c r="M187" s="2"/>
      <c r="N187" s="2"/>
      <c r="O187" s="2"/>
      <c r="P187" s="2"/>
      <c r="Q187" s="2"/>
      <c r="R187" s="2"/>
      <c r="S187" s="2"/>
      <c r="T187" s="2"/>
      <c r="U187" s="2"/>
    </row>
    <row r="188" spans="4:21" x14ac:dyDescent="0.25">
      <c r="D188" s="7" t="s">
        <v>251</v>
      </c>
      <c r="E188" s="13" t="s">
        <v>1</v>
      </c>
      <c r="F188" s="7" t="s">
        <v>12</v>
      </c>
      <c r="G188" s="8">
        <v>7</v>
      </c>
      <c r="H188" s="7" t="s">
        <v>3</v>
      </c>
      <c r="I188" s="7">
        <v>300</v>
      </c>
      <c r="J188" s="7" t="s">
        <v>60</v>
      </c>
      <c r="K188" s="7" t="s">
        <v>289</v>
      </c>
      <c r="L188" s="7"/>
      <c r="M188" s="2"/>
      <c r="N188" s="2"/>
      <c r="O188" s="2"/>
      <c r="P188" s="2"/>
      <c r="Q188" s="2"/>
      <c r="R188" s="2"/>
      <c r="S188" s="2"/>
      <c r="T188" s="2"/>
      <c r="U188" s="2"/>
    </row>
    <row r="189" spans="4:21" x14ac:dyDescent="0.25">
      <c r="D189" s="9" t="s">
        <v>240</v>
      </c>
      <c r="E189" s="13" t="s">
        <v>294</v>
      </c>
      <c r="F189" s="7" t="s">
        <v>12</v>
      </c>
      <c r="G189" s="8">
        <v>14.4</v>
      </c>
      <c r="H189" s="7" t="s">
        <v>13</v>
      </c>
      <c r="I189" s="7">
        <v>24</v>
      </c>
      <c r="J189" s="7" t="s">
        <v>60</v>
      </c>
      <c r="K189" s="7" t="s">
        <v>289</v>
      </c>
      <c r="L189" s="7"/>
      <c r="M189" s="2"/>
      <c r="N189" s="2"/>
      <c r="O189" s="2"/>
      <c r="P189" s="2"/>
      <c r="Q189" s="2"/>
      <c r="R189" s="2"/>
      <c r="S189" s="2"/>
      <c r="T189" s="2"/>
      <c r="U189" s="2"/>
    </row>
    <row r="190" spans="4:21" x14ac:dyDescent="0.25">
      <c r="D190" s="7" t="s">
        <v>242</v>
      </c>
      <c r="E190" s="13" t="s">
        <v>15</v>
      </c>
      <c r="F190" s="7" t="s">
        <v>12</v>
      </c>
      <c r="G190" s="8">
        <v>8.9600000000000009</v>
      </c>
      <c r="H190" s="7" t="s">
        <v>13</v>
      </c>
      <c r="I190" s="7">
        <v>32</v>
      </c>
      <c r="J190" s="7" t="s">
        <v>60</v>
      </c>
      <c r="K190" s="7" t="s">
        <v>289</v>
      </c>
      <c r="L190" s="7"/>
      <c r="M190" s="2"/>
      <c r="N190" s="2"/>
      <c r="O190" s="2"/>
      <c r="P190" s="2"/>
      <c r="Q190" s="2"/>
      <c r="R190" s="2"/>
      <c r="S190" s="2"/>
      <c r="T190" s="2"/>
      <c r="U190" s="2"/>
    </row>
    <row r="191" spans="4:21" x14ac:dyDescent="0.25">
      <c r="D191" s="7" t="s">
        <v>243</v>
      </c>
      <c r="E191" s="13" t="s">
        <v>15</v>
      </c>
      <c r="F191" s="7" t="s">
        <v>12</v>
      </c>
      <c r="G191" s="8">
        <v>7.96</v>
      </c>
      <c r="H191" s="7" t="s">
        <v>13</v>
      </c>
      <c r="I191" s="7">
        <v>32</v>
      </c>
      <c r="J191" s="7" t="s">
        <v>60</v>
      </c>
      <c r="K191" s="7" t="s">
        <v>289</v>
      </c>
      <c r="L191" s="7"/>
      <c r="M191" s="2"/>
      <c r="N191" s="2"/>
      <c r="O191" s="2"/>
      <c r="P191" s="2"/>
      <c r="Q191" s="2"/>
      <c r="R191" s="2"/>
      <c r="S191" s="2"/>
      <c r="T191" s="2"/>
      <c r="U191" s="2"/>
    </row>
    <row r="192" spans="4:21" x14ac:dyDescent="0.25">
      <c r="D192" s="7" t="s">
        <v>73</v>
      </c>
      <c r="E192" s="13" t="s">
        <v>1</v>
      </c>
      <c r="F192" s="7" t="s">
        <v>7</v>
      </c>
      <c r="G192" s="8">
        <v>15</v>
      </c>
      <c r="H192" s="7" t="s">
        <v>3</v>
      </c>
      <c r="I192" s="7">
        <v>6</v>
      </c>
      <c r="J192" s="7" t="s">
        <v>60</v>
      </c>
      <c r="K192" s="7" t="s">
        <v>289</v>
      </c>
      <c r="L192" s="7"/>
      <c r="M192" s="2"/>
      <c r="N192" s="2"/>
      <c r="O192" s="2"/>
      <c r="P192" s="2"/>
      <c r="Q192" s="2"/>
      <c r="R192" s="2"/>
      <c r="S192" s="2"/>
      <c r="T192" s="2"/>
      <c r="U192" s="2"/>
    </row>
    <row r="193" spans="4:21" x14ac:dyDescent="0.25">
      <c r="D193" s="7" t="s">
        <v>74</v>
      </c>
      <c r="E193" s="13" t="s">
        <v>1</v>
      </c>
      <c r="F193" s="7" t="s">
        <v>7</v>
      </c>
      <c r="G193" s="8">
        <v>36.22</v>
      </c>
      <c r="H193" s="7" t="s">
        <v>3</v>
      </c>
      <c r="I193" s="7">
        <v>84</v>
      </c>
      <c r="J193" s="7" t="s">
        <v>60</v>
      </c>
      <c r="K193" s="7" t="s">
        <v>289</v>
      </c>
      <c r="L193" s="7"/>
      <c r="M193" s="2"/>
      <c r="N193" s="2"/>
      <c r="O193" s="2"/>
      <c r="P193" s="2"/>
      <c r="Q193" s="2"/>
      <c r="R193" s="2"/>
      <c r="S193" s="2"/>
      <c r="T193" s="2"/>
      <c r="U193" s="2"/>
    </row>
    <row r="194" spans="4:21" x14ac:dyDescent="0.25">
      <c r="D194" s="7" t="s">
        <v>245</v>
      </c>
      <c r="E194" s="13" t="s">
        <v>225</v>
      </c>
      <c r="F194" s="7" t="s">
        <v>12</v>
      </c>
      <c r="G194" s="8">
        <v>20.51</v>
      </c>
      <c r="H194" s="7" t="s">
        <v>13</v>
      </c>
      <c r="I194" s="7">
        <f>25*16</f>
        <v>400</v>
      </c>
      <c r="J194" s="7" t="s">
        <v>60</v>
      </c>
      <c r="K194" s="7" t="s">
        <v>289</v>
      </c>
      <c r="L194" s="7"/>
      <c r="M194" s="2"/>
      <c r="N194" s="2"/>
      <c r="O194" s="2"/>
      <c r="P194" s="2"/>
      <c r="Q194" s="2"/>
      <c r="R194" s="2"/>
      <c r="S194" s="2"/>
      <c r="T194" s="2"/>
      <c r="U194" s="2"/>
    </row>
    <row r="195" spans="4:21" x14ac:dyDescent="0.25">
      <c r="D195" s="7" t="s">
        <v>246</v>
      </c>
      <c r="E195" s="13" t="s">
        <v>1</v>
      </c>
      <c r="F195" s="7" t="s">
        <v>247</v>
      </c>
      <c r="G195" s="8">
        <v>29.19</v>
      </c>
      <c r="H195" s="7" t="s">
        <v>3</v>
      </c>
      <c r="I195" s="7">
        <v>42</v>
      </c>
      <c r="J195" s="7" t="s">
        <v>60</v>
      </c>
      <c r="K195" s="7" t="s">
        <v>289</v>
      </c>
      <c r="L195" s="7"/>
      <c r="M195" s="2"/>
      <c r="N195" s="2"/>
      <c r="O195" s="2"/>
      <c r="P195" s="2"/>
      <c r="Q195" s="2"/>
      <c r="R195" s="2"/>
      <c r="S195" s="2"/>
      <c r="T195" s="2"/>
      <c r="U195" s="2"/>
    </row>
    <row r="196" spans="4:21" x14ac:dyDescent="0.25">
      <c r="D196" s="7" t="s">
        <v>65</v>
      </c>
      <c r="E196" s="13" t="s">
        <v>15</v>
      </c>
      <c r="F196" s="7" t="s">
        <v>12</v>
      </c>
      <c r="G196" s="8">
        <f>3.49*1.3</f>
        <v>4.5370000000000008</v>
      </c>
      <c r="H196" s="7" t="s">
        <v>13</v>
      </c>
      <c r="I196" s="7">
        <v>32</v>
      </c>
      <c r="J196" s="7" t="s">
        <v>60</v>
      </c>
      <c r="K196" s="7" t="s">
        <v>289</v>
      </c>
      <c r="L196" s="7"/>
      <c r="M196" s="2"/>
      <c r="N196" s="2"/>
      <c r="O196" s="2"/>
      <c r="P196" s="2"/>
      <c r="Q196" s="2"/>
      <c r="R196" s="2"/>
      <c r="S196" s="2"/>
      <c r="T196" s="2"/>
      <c r="U196" s="2"/>
    </row>
    <row r="197" spans="4:21" x14ac:dyDescent="0.25">
      <c r="D197" s="7" t="s">
        <v>221</v>
      </c>
      <c r="E197" s="13" t="s">
        <v>31</v>
      </c>
      <c r="F197" s="7" t="s">
        <v>12</v>
      </c>
      <c r="G197" s="8">
        <v>3.49</v>
      </c>
      <c r="H197" s="7" t="s">
        <v>3</v>
      </c>
      <c r="I197" s="7">
        <v>12</v>
      </c>
      <c r="J197" s="7" t="s">
        <v>60</v>
      </c>
      <c r="K197" s="7" t="s">
        <v>289</v>
      </c>
      <c r="L197" s="7"/>
      <c r="M197" s="2"/>
      <c r="N197" s="2"/>
      <c r="O197" s="2"/>
      <c r="P197" s="2"/>
      <c r="Q197" s="2"/>
      <c r="R197" s="2"/>
      <c r="S197" s="2"/>
      <c r="T197" s="2"/>
      <c r="U197" s="2"/>
    </row>
    <row r="198" spans="4:21" x14ac:dyDescent="0.25">
      <c r="D198" s="7" t="s">
        <v>222</v>
      </c>
      <c r="E198" s="13" t="s">
        <v>15</v>
      </c>
      <c r="F198" s="7" t="s">
        <v>12</v>
      </c>
      <c r="G198" s="8">
        <v>5</v>
      </c>
      <c r="H198" s="7" t="s">
        <v>3</v>
      </c>
      <c r="I198" s="7">
        <v>100</v>
      </c>
      <c r="J198" s="7" t="s">
        <v>60</v>
      </c>
      <c r="K198" s="7" t="s">
        <v>289</v>
      </c>
      <c r="L198" s="7"/>
      <c r="M198" s="2"/>
      <c r="N198" s="2"/>
      <c r="O198" s="2"/>
      <c r="P198" s="2"/>
      <c r="Q198" s="2"/>
      <c r="R198" s="2"/>
      <c r="S198" s="2"/>
      <c r="T198" s="2"/>
      <c r="U198" s="2"/>
    </row>
    <row r="199" spans="4:21" x14ac:dyDescent="0.25">
      <c r="D199" s="7" t="s">
        <v>75</v>
      </c>
      <c r="E199" s="13" t="s">
        <v>1</v>
      </c>
      <c r="F199" s="7" t="s">
        <v>23</v>
      </c>
      <c r="G199" s="8">
        <v>5</v>
      </c>
      <c r="H199" s="7" t="s">
        <v>3</v>
      </c>
      <c r="I199" s="7">
        <v>1</v>
      </c>
      <c r="J199" s="7" t="s">
        <v>60</v>
      </c>
      <c r="K199" s="7" t="s">
        <v>289</v>
      </c>
      <c r="L199" s="7"/>
      <c r="M199" s="2"/>
      <c r="N199" s="2"/>
      <c r="O199" s="2"/>
      <c r="P199" s="2"/>
      <c r="Q199" s="2"/>
      <c r="R199" s="2"/>
      <c r="S199" s="2"/>
      <c r="T199" s="2"/>
      <c r="U199" s="2"/>
    </row>
    <row r="200" spans="4:21" x14ac:dyDescent="0.25">
      <c r="D200" s="7" t="s">
        <v>248</v>
      </c>
      <c r="E200" s="13" t="s">
        <v>11</v>
      </c>
      <c r="F200" s="7" t="s">
        <v>12</v>
      </c>
      <c r="G200" s="8">
        <v>5.51</v>
      </c>
      <c r="H200" s="7" t="s">
        <v>13</v>
      </c>
      <c r="I200" s="7">
        <v>160</v>
      </c>
      <c r="J200" s="7" t="s">
        <v>60</v>
      </c>
      <c r="K200" s="7" t="s">
        <v>289</v>
      </c>
      <c r="L200" s="7"/>
      <c r="M200" s="2"/>
      <c r="N200" s="2"/>
      <c r="O200" s="2"/>
      <c r="P200" s="2"/>
      <c r="Q200" s="2"/>
      <c r="R200" s="2"/>
      <c r="S200" s="2"/>
      <c r="T200" s="2"/>
      <c r="U200" s="2"/>
    </row>
    <row r="201" spans="4:21" x14ac:dyDescent="0.25">
      <c r="D201" s="7" t="s">
        <v>38</v>
      </c>
      <c r="E201" s="7" t="s">
        <v>1</v>
      </c>
      <c r="F201" s="7" t="s">
        <v>12</v>
      </c>
      <c r="G201" s="8">
        <v>14.3</v>
      </c>
      <c r="H201" s="7" t="s">
        <v>13</v>
      </c>
      <c r="I201" s="7">
        <v>16</v>
      </c>
      <c r="J201" s="7" t="s">
        <v>39</v>
      </c>
      <c r="K201" s="7" t="s">
        <v>289</v>
      </c>
      <c r="L201" s="2"/>
      <c r="M201" s="2"/>
      <c r="N201" s="2"/>
      <c r="O201" s="2"/>
      <c r="P201" s="2"/>
      <c r="Q201" s="2"/>
      <c r="R201" s="2"/>
      <c r="S201" s="2"/>
      <c r="T201" s="2"/>
      <c r="U201" s="2"/>
    </row>
    <row r="202" spans="4:21" x14ac:dyDescent="0.25">
      <c r="D202" s="7" t="s">
        <v>40</v>
      </c>
      <c r="E202" s="7" t="s">
        <v>31</v>
      </c>
      <c r="F202" s="7" t="s">
        <v>12</v>
      </c>
      <c r="G202" s="8">
        <v>18.489999999999998</v>
      </c>
      <c r="H202" s="7" t="s">
        <v>13</v>
      </c>
      <c r="I202" s="7">
        <f>5*16</f>
        <v>80</v>
      </c>
      <c r="J202" s="7" t="s">
        <v>39</v>
      </c>
      <c r="K202" s="7" t="s">
        <v>289</v>
      </c>
      <c r="L202" s="2"/>
      <c r="M202" s="2"/>
      <c r="N202" s="2"/>
      <c r="O202" s="2"/>
      <c r="P202" s="2"/>
      <c r="Q202" s="2"/>
      <c r="R202" s="2"/>
      <c r="S202" s="2"/>
      <c r="T202" s="2"/>
      <c r="U202" s="2"/>
    </row>
    <row r="203" spans="4:21" x14ac:dyDescent="0.25">
      <c r="D203" s="7" t="s">
        <v>150</v>
      </c>
      <c r="E203" s="7" t="s">
        <v>1</v>
      </c>
      <c r="F203" s="7" t="s">
        <v>33</v>
      </c>
      <c r="G203" s="8">
        <v>19.8</v>
      </c>
      <c r="H203" s="7" t="s">
        <v>3</v>
      </c>
      <c r="I203" s="7" t="s">
        <v>295</v>
      </c>
      <c r="J203" s="7" t="s">
        <v>137</v>
      </c>
      <c r="K203" s="7" t="s">
        <v>289</v>
      </c>
      <c r="L203" s="2"/>
      <c r="M203" s="2"/>
      <c r="N203" s="2"/>
      <c r="O203" s="2"/>
      <c r="P203" s="2"/>
      <c r="Q203" s="2"/>
      <c r="R203" s="2"/>
      <c r="S203" s="2"/>
      <c r="T203" s="2"/>
      <c r="U203" s="2"/>
    </row>
    <row r="204" spans="4:21" x14ac:dyDescent="0.25">
      <c r="D204" s="7" t="s">
        <v>151</v>
      </c>
      <c r="E204" s="7" t="s">
        <v>1</v>
      </c>
      <c r="F204" s="7" t="s">
        <v>7</v>
      </c>
      <c r="G204" s="8">
        <v>50.02</v>
      </c>
      <c r="H204" s="7" t="s">
        <v>3</v>
      </c>
      <c r="I204" s="7" t="s">
        <v>261</v>
      </c>
      <c r="J204" s="7" t="s">
        <v>137</v>
      </c>
      <c r="K204" s="7" t="s">
        <v>289</v>
      </c>
      <c r="L204" s="2"/>
      <c r="M204" s="2"/>
      <c r="N204" s="2"/>
      <c r="O204" s="2"/>
      <c r="P204" s="2"/>
      <c r="Q204" s="2"/>
      <c r="R204" s="2"/>
      <c r="S204" s="2"/>
      <c r="T204" s="2"/>
      <c r="U204" s="2"/>
    </row>
    <row r="205" spans="4:21" x14ac:dyDescent="0.25">
      <c r="D205" s="7" t="s">
        <v>152</v>
      </c>
      <c r="E205" s="7" t="s">
        <v>1</v>
      </c>
      <c r="F205" s="7" t="s">
        <v>7</v>
      </c>
      <c r="G205" s="8">
        <v>38.72</v>
      </c>
      <c r="H205" s="7" t="s">
        <v>3</v>
      </c>
      <c r="I205" s="7" t="s">
        <v>123</v>
      </c>
      <c r="J205" s="7" t="s">
        <v>137</v>
      </c>
      <c r="K205" s="7" t="s">
        <v>289</v>
      </c>
      <c r="L205" s="2"/>
      <c r="M205" s="2"/>
      <c r="N205" s="2"/>
      <c r="O205" s="2"/>
      <c r="P205" s="2"/>
      <c r="Q205" s="2"/>
      <c r="R205" s="2"/>
      <c r="S205" s="2"/>
      <c r="T205" s="2"/>
      <c r="U205" s="2"/>
    </row>
    <row r="206" spans="4:21" x14ac:dyDescent="0.25">
      <c r="D206" s="7" t="s">
        <v>296</v>
      </c>
      <c r="E206" s="7" t="s">
        <v>1</v>
      </c>
      <c r="F206" s="7" t="s">
        <v>7</v>
      </c>
      <c r="G206" s="8">
        <v>28.58</v>
      </c>
      <c r="H206" s="7" t="s">
        <v>3</v>
      </c>
      <c r="I206" s="7" t="s">
        <v>225</v>
      </c>
      <c r="J206" s="7" t="s">
        <v>137</v>
      </c>
      <c r="K206" s="7" t="s">
        <v>289</v>
      </c>
      <c r="L206" s="2"/>
      <c r="M206" s="2"/>
      <c r="N206" s="2"/>
      <c r="O206" s="2"/>
      <c r="P206" s="2"/>
      <c r="Q206" s="2"/>
      <c r="R206" s="2"/>
      <c r="S206" s="2"/>
      <c r="T206" s="2"/>
      <c r="U206" s="2"/>
    </row>
    <row r="207" spans="4:21" x14ac:dyDescent="0.25">
      <c r="D207" s="7" t="s">
        <v>297</v>
      </c>
      <c r="E207" s="7" t="s">
        <v>1</v>
      </c>
      <c r="F207" s="7" t="s">
        <v>7</v>
      </c>
      <c r="G207" s="8">
        <v>56</v>
      </c>
      <c r="H207" s="7" t="s">
        <v>3</v>
      </c>
      <c r="I207" s="7" t="s">
        <v>225</v>
      </c>
      <c r="J207" s="7" t="s">
        <v>137</v>
      </c>
      <c r="K207" s="7" t="s">
        <v>289</v>
      </c>
      <c r="L207" s="2"/>
      <c r="M207" s="2"/>
      <c r="N207" s="2"/>
      <c r="O207" s="2"/>
      <c r="P207" s="2"/>
      <c r="Q207" s="2"/>
      <c r="R207" s="2"/>
      <c r="S207" s="2"/>
      <c r="T207" s="2"/>
      <c r="U207" s="2"/>
    </row>
    <row r="208" spans="4:21" x14ac:dyDescent="0.25">
      <c r="D208" s="7" t="s">
        <v>138</v>
      </c>
      <c r="E208" s="7" t="s">
        <v>1</v>
      </c>
      <c r="F208" s="7" t="s">
        <v>19</v>
      </c>
      <c r="G208" s="8">
        <v>5.63</v>
      </c>
      <c r="H208" s="7" t="s">
        <v>8</v>
      </c>
      <c r="I208" s="7" t="s">
        <v>145</v>
      </c>
      <c r="J208" s="7" t="s">
        <v>137</v>
      </c>
      <c r="K208" s="7" t="s">
        <v>289</v>
      </c>
      <c r="L208" s="2"/>
      <c r="M208" s="2"/>
      <c r="N208" s="2"/>
      <c r="O208" s="2"/>
      <c r="P208" s="2"/>
      <c r="Q208" s="2"/>
      <c r="R208" s="2"/>
      <c r="S208" s="2"/>
      <c r="T208" s="2"/>
      <c r="U208" s="2"/>
    </row>
    <row r="209" spans="4:21" x14ac:dyDescent="0.25">
      <c r="D209" s="7" t="s">
        <v>154</v>
      </c>
      <c r="E209" s="7" t="s">
        <v>1</v>
      </c>
      <c r="F209" s="7" t="s">
        <v>21</v>
      </c>
      <c r="G209" s="8"/>
      <c r="H209" s="7"/>
      <c r="I209" s="7"/>
      <c r="J209" s="7" t="s">
        <v>137</v>
      </c>
      <c r="K209" s="7" t="s">
        <v>289</v>
      </c>
      <c r="L209" s="2"/>
      <c r="M209" s="2"/>
      <c r="N209" s="2"/>
      <c r="O209" s="2"/>
      <c r="P209" s="2"/>
      <c r="Q209" s="2"/>
      <c r="R209" s="2"/>
      <c r="S209" s="2"/>
      <c r="T209" s="2"/>
      <c r="U209" s="2"/>
    </row>
    <row r="210" spans="4:21" x14ac:dyDescent="0.25">
      <c r="D210" s="7" t="s">
        <v>156</v>
      </c>
      <c r="E210" s="7" t="s">
        <v>1</v>
      </c>
      <c r="F210" s="7" t="s">
        <v>19</v>
      </c>
      <c r="G210" s="8">
        <v>6.47</v>
      </c>
      <c r="H210" s="7" t="s">
        <v>8</v>
      </c>
      <c r="I210" s="7">
        <v>128</v>
      </c>
      <c r="J210" s="7" t="s">
        <v>137</v>
      </c>
      <c r="K210" s="7" t="s">
        <v>289</v>
      </c>
      <c r="L210" s="2"/>
      <c r="M210" s="2"/>
      <c r="N210" s="2"/>
      <c r="O210" s="2"/>
      <c r="P210" s="2"/>
      <c r="Q210" s="2"/>
      <c r="R210" s="2"/>
      <c r="S210" s="2"/>
      <c r="T210" s="2"/>
      <c r="U210" s="2"/>
    </row>
    <row r="211" spans="4:21" x14ac:dyDescent="0.25">
      <c r="D211" s="7" t="s">
        <v>252</v>
      </c>
      <c r="E211" s="7" t="s">
        <v>1</v>
      </c>
      <c r="F211" s="7" t="s">
        <v>19</v>
      </c>
      <c r="G211" s="8">
        <v>11.43</v>
      </c>
      <c r="H211" s="7"/>
      <c r="I211" s="7"/>
      <c r="J211" s="7" t="s">
        <v>137</v>
      </c>
      <c r="K211" s="7" t="s">
        <v>289</v>
      </c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 spans="4:21" x14ac:dyDescent="0.25">
      <c r="D212" s="7" t="s">
        <v>157</v>
      </c>
      <c r="E212" s="7">
        <v>1</v>
      </c>
      <c r="F212" s="7" t="s">
        <v>23</v>
      </c>
      <c r="G212" s="8">
        <v>9.24</v>
      </c>
      <c r="H212" s="7"/>
      <c r="I212" s="7"/>
      <c r="J212" s="7" t="s">
        <v>137</v>
      </c>
      <c r="K212" s="7" t="s">
        <v>289</v>
      </c>
      <c r="L212" s="2"/>
      <c r="M212" s="2"/>
      <c r="N212" s="2"/>
      <c r="O212" s="2"/>
      <c r="P212" s="2"/>
      <c r="Q212" s="2"/>
      <c r="R212" s="2"/>
      <c r="S212" s="2"/>
      <c r="T212" s="2"/>
      <c r="U212" s="2"/>
    </row>
    <row r="213" spans="4:21" x14ac:dyDescent="0.25">
      <c r="D213" s="7" t="s">
        <v>158</v>
      </c>
      <c r="E213" s="7" t="s">
        <v>1</v>
      </c>
      <c r="F213" s="7" t="s">
        <v>33</v>
      </c>
      <c r="G213" s="8">
        <v>19.57</v>
      </c>
      <c r="H213" s="7" t="s">
        <v>3</v>
      </c>
      <c r="I213" s="7">
        <v>144</v>
      </c>
      <c r="J213" s="7" t="s">
        <v>137</v>
      </c>
      <c r="K213" s="7" t="s">
        <v>289</v>
      </c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4" spans="4:21" x14ac:dyDescent="0.25">
      <c r="D214" s="7" t="s">
        <v>176</v>
      </c>
      <c r="E214" s="7" t="s">
        <v>1</v>
      </c>
      <c r="F214" s="7" t="s">
        <v>33</v>
      </c>
      <c r="G214" s="8">
        <v>21.23</v>
      </c>
      <c r="H214" s="7" t="s">
        <v>3</v>
      </c>
      <c r="I214" s="7"/>
      <c r="J214" s="7" t="s">
        <v>137</v>
      </c>
      <c r="K214" s="7" t="s">
        <v>289</v>
      </c>
      <c r="L214" s="2"/>
      <c r="M214" s="2"/>
      <c r="N214" s="2"/>
      <c r="O214" s="2"/>
      <c r="P214" s="2"/>
      <c r="Q214" s="2"/>
      <c r="R214" s="2"/>
      <c r="S214" s="2"/>
      <c r="T214" s="2"/>
      <c r="U214" s="2"/>
    </row>
    <row r="215" spans="4:21" x14ac:dyDescent="0.25">
      <c r="D215" s="7" t="s">
        <v>141</v>
      </c>
      <c r="E215" s="7" t="s">
        <v>1</v>
      </c>
      <c r="F215" s="7" t="s">
        <v>19</v>
      </c>
      <c r="G215" s="8"/>
      <c r="H215" s="7"/>
      <c r="I215" s="7"/>
      <c r="J215" s="7" t="s">
        <v>137</v>
      </c>
      <c r="K215" s="7" t="s">
        <v>289</v>
      </c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 spans="4:21" x14ac:dyDescent="0.25">
      <c r="D216" s="7" t="s">
        <v>159</v>
      </c>
      <c r="E216" s="7" t="s">
        <v>1</v>
      </c>
      <c r="F216" s="7" t="s">
        <v>7</v>
      </c>
      <c r="G216" s="8">
        <v>10.95</v>
      </c>
      <c r="H216" s="7" t="s">
        <v>3</v>
      </c>
      <c r="I216" s="7" t="s">
        <v>262</v>
      </c>
      <c r="J216" s="7" t="s">
        <v>137</v>
      </c>
      <c r="K216" s="7" t="s">
        <v>289</v>
      </c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 spans="4:21" x14ac:dyDescent="0.25">
      <c r="D217" s="7" t="s">
        <v>140</v>
      </c>
      <c r="E217" s="7" t="s">
        <v>1</v>
      </c>
      <c r="F217" s="7" t="s">
        <v>7</v>
      </c>
      <c r="G217" s="8">
        <v>15.79</v>
      </c>
      <c r="H217" s="7"/>
      <c r="I217" s="7"/>
      <c r="J217" s="7" t="s">
        <v>137</v>
      </c>
      <c r="K217" s="7" t="s">
        <v>289</v>
      </c>
      <c r="L217" s="2"/>
      <c r="M217" s="2"/>
      <c r="N217" s="2"/>
      <c r="O217" s="2"/>
      <c r="P217" s="2"/>
      <c r="Q217" s="2"/>
      <c r="R217" s="2"/>
      <c r="S217" s="2"/>
      <c r="T217" s="2"/>
      <c r="U217" s="2"/>
    </row>
    <row r="218" spans="4:21" x14ac:dyDescent="0.25">
      <c r="D218" s="7" t="s">
        <v>160</v>
      </c>
      <c r="E218" s="7" t="s">
        <v>1</v>
      </c>
      <c r="F218" s="7" t="s">
        <v>7</v>
      </c>
      <c r="G218" s="8">
        <v>32.630000000000003</v>
      </c>
      <c r="H218" s="7" t="s">
        <v>3</v>
      </c>
      <c r="I218" s="7">
        <v>500</v>
      </c>
      <c r="J218" s="7" t="s">
        <v>137</v>
      </c>
      <c r="K218" s="7" t="s">
        <v>289</v>
      </c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 spans="4:21" x14ac:dyDescent="0.25">
      <c r="D219" s="7" t="s">
        <v>185</v>
      </c>
      <c r="E219" s="7" t="s">
        <v>1</v>
      </c>
      <c r="F219" s="7" t="s">
        <v>7</v>
      </c>
      <c r="G219" s="8">
        <v>45.65</v>
      </c>
      <c r="H219" s="7" t="s">
        <v>3</v>
      </c>
      <c r="I219" s="7" t="s">
        <v>298</v>
      </c>
      <c r="J219" s="7" t="s">
        <v>137</v>
      </c>
      <c r="K219" s="7" t="s">
        <v>289</v>
      </c>
      <c r="L219" s="2"/>
      <c r="M219" s="2"/>
      <c r="N219" s="2"/>
      <c r="O219" s="2"/>
      <c r="P219" s="2"/>
      <c r="Q219" s="2"/>
      <c r="R219" s="2"/>
      <c r="S219" s="2"/>
      <c r="T219" s="2"/>
      <c r="U219" s="2"/>
    </row>
    <row r="220" spans="4:21" x14ac:dyDescent="0.25">
      <c r="D220" s="7" t="s">
        <v>161</v>
      </c>
      <c r="E220" s="7" t="s">
        <v>1</v>
      </c>
      <c r="F220" s="7" t="s">
        <v>33</v>
      </c>
      <c r="G220" s="8">
        <v>5.37</v>
      </c>
      <c r="H220" s="7" t="s">
        <v>3</v>
      </c>
      <c r="I220" s="7">
        <v>1000</v>
      </c>
      <c r="J220" s="7" t="s">
        <v>137</v>
      </c>
      <c r="K220" s="7" t="s">
        <v>289</v>
      </c>
      <c r="L220" s="2"/>
      <c r="M220" s="2"/>
      <c r="N220" s="2"/>
      <c r="O220" s="2"/>
      <c r="P220" s="2"/>
      <c r="Q220" s="2"/>
      <c r="R220" s="2"/>
      <c r="S220" s="2"/>
      <c r="T220" s="2"/>
      <c r="U220" s="2"/>
    </row>
    <row r="221" spans="4:21" x14ac:dyDescent="0.25">
      <c r="D221" s="7" t="s">
        <v>191</v>
      </c>
      <c r="E221" s="7" t="s">
        <v>1</v>
      </c>
      <c r="F221" s="7" t="s">
        <v>23</v>
      </c>
      <c r="G221" s="8">
        <v>0.66</v>
      </c>
      <c r="H221" s="7" t="s">
        <v>3</v>
      </c>
      <c r="I221" s="7">
        <v>1</v>
      </c>
      <c r="J221" s="7" t="s">
        <v>190</v>
      </c>
      <c r="K221" s="7" t="s">
        <v>289</v>
      </c>
      <c r="L221" s="2"/>
      <c r="M221" s="2"/>
      <c r="N221" s="2"/>
      <c r="O221" s="2"/>
      <c r="P221" s="2"/>
      <c r="Q221" s="2"/>
      <c r="R221" s="2"/>
      <c r="S221" s="2"/>
      <c r="T221" s="2"/>
      <c r="U221" s="2"/>
    </row>
    <row r="222" spans="4:21" x14ac:dyDescent="0.25">
      <c r="D222" s="7" t="s">
        <v>194</v>
      </c>
      <c r="E222" s="7" t="s">
        <v>1</v>
      </c>
      <c r="F222" s="7" t="s">
        <v>23</v>
      </c>
      <c r="G222" s="8">
        <v>0.86</v>
      </c>
      <c r="H222" s="7"/>
      <c r="I222" s="7"/>
      <c r="J222" s="7" t="s">
        <v>190</v>
      </c>
      <c r="K222" s="7" t="s">
        <v>289</v>
      </c>
      <c r="L222" s="2"/>
      <c r="M222" s="2"/>
      <c r="N222" s="2"/>
      <c r="O222" s="2"/>
      <c r="P222" s="2"/>
      <c r="Q222" s="2"/>
      <c r="R222" s="2"/>
      <c r="S222" s="2"/>
      <c r="T222" s="2"/>
      <c r="U222" s="2"/>
    </row>
    <row r="223" spans="4:21" x14ac:dyDescent="0.25">
      <c r="D223" s="7" t="s">
        <v>299</v>
      </c>
      <c r="E223" s="7">
        <v>1</v>
      </c>
      <c r="F223" s="7" t="s">
        <v>7</v>
      </c>
      <c r="G223" s="7"/>
      <c r="H223" s="7"/>
      <c r="I223" s="7"/>
      <c r="J223" s="7" t="s">
        <v>190</v>
      </c>
      <c r="K223" s="7" t="s">
        <v>289</v>
      </c>
      <c r="L223" s="2"/>
      <c r="M223" s="2"/>
      <c r="N223" s="2"/>
      <c r="O223" s="2"/>
      <c r="P223" s="2"/>
      <c r="Q223" s="2"/>
      <c r="R223" s="2"/>
      <c r="S223" s="2"/>
      <c r="T223" s="2"/>
      <c r="U223" s="2"/>
    </row>
    <row r="224" spans="4:21" x14ac:dyDescent="0.25">
      <c r="D224" s="7" t="s">
        <v>231</v>
      </c>
      <c r="E224" s="13" t="s">
        <v>1</v>
      </c>
      <c r="F224" s="7" t="s">
        <v>23</v>
      </c>
      <c r="G224" s="8">
        <v>1</v>
      </c>
      <c r="H224" s="7" t="s">
        <v>3</v>
      </c>
      <c r="I224" s="7">
        <v>2</v>
      </c>
      <c r="J224" s="7" t="s">
        <v>60</v>
      </c>
      <c r="K224" s="7" t="s">
        <v>300</v>
      </c>
      <c r="L224" s="7"/>
      <c r="M224" s="2"/>
      <c r="N224" s="2"/>
      <c r="O224" s="2"/>
      <c r="P224" s="2"/>
      <c r="Q224" s="2"/>
      <c r="R224" s="2"/>
      <c r="S224" s="2"/>
      <c r="T224" s="2"/>
      <c r="U224" s="2"/>
    </row>
    <row r="225" spans="4:21" x14ac:dyDescent="0.25">
      <c r="D225" s="7" t="s">
        <v>250</v>
      </c>
      <c r="E225" s="13" t="s">
        <v>1</v>
      </c>
      <c r="F225" s="7" t="s">
        <v>12</v>
      </c>
      <c r="G225" s="8">
        <v>4.99</v>
      </c>
      <c r="H225" s="7" t="s">
        <v>13</v>
      </c>
      <c r="I225" s="7">
        <v>16</v>
      </c>
      <c r="J225" s="7" t="s">
        <v>60</v>
      </c>
      <c r="K225" s="7" t="s">
        <v>300</v>
      </c>
      <c r="L225" s="7"/>
      <c r="M225" s="2"/>
      <c r="N225" s="2"/>
      <c r="O225" s="2"/>
      <c r="P225" s="2"/>
      <c r="Q225" s="2"/>
      <c r="R225" s="2"/>
      <c r="S225" s="2"/>
      <c r="T225" s="2"/>
      <c r="U225" s="2"/>
    </row>
    <row r="226" spans="4:21" x14ac:dyDescent="0.25">
      <c r="D226" s="7" t="s">
        <v>45</v>
      </c>
      <c r="E226" s="7" t="s">
        <v>1</v>
      </c>
      <c r="F226" s="7" t="s">
        <v>247</v>
      </c>
      <c r="G226" s="8">
        <f>3.76*6</f>
        <v>22.56</v>
      </c>
      <c r="H226" s="7" t="s">
        <v>3</v>
      </c>
      <c r="I226" s="7" t="s">
        <v>301</v>
      </c>
      <c r="J226" s="7" t="s">
        <v>63</v>
      </c>
      <c r="K226" s="7" t="s">
        <v>302</v>
      </c>
      <c r="L226" s="2"/>
      <c r="M226" s="2"/>
      <c r="N226" s="2"/>
      <c r="O226" s="2"/>
      <c r="P226" s="2"/>
      <c r="Q226" s="2"/>
      <c r="R226" s="2"/>
      <c r="S226" s="2"/>
      <c r="T226" s="2"/>
      <c r="U226" s="2"/>
    </row>
    <row r="227" spans="4:21" x14ac:dyDescent="0.25">
      <c r="D227" s="7" t="s">
        <v>48</v>
      </c>
      <c r="E227" s="7" t="s">
        <v>1</v>
      </c>
      <c r="F227" s="7" t="s">
        <v>7</v>
      </c>
      <c r="G227" s="8">
        <v>19.12</v>
      </c>
      <c r="H227" s="7" t="s">
        <v>3</v>
      </c>
      <c r="I227" s="7" t="s">
        <v>298</v>
      </c>
      <c r="J227" s="7" t="s">
        <v>17</v>
      </c>
      <c r="K227" s="7" t="s">
        <v>302</v>
      </c>
      <c r="L227" s="2"/>
      <c r="M227" s="2"/>
      <c r="N227" s="2"/>
      <c r="O227" s="2"/>
      <c r="P227" s="2"/>
      <c r="Q227" s="2"/>
      <c r="R227" s="2"/>
      <c r="S227" s="2"/>
      <c r="T227" s="2"/>
      <c r="U227" s="2"/>
    </row>
    <row r="228" spans="4:21" x14ac:dyDescent="0.25">
      <c r="D228" s="7" t="s">
        <v>253</v>
      </c>
      <c r="E228" s="7" t="s">
        <v>1</v>
      </c>
      <c r="F228" s="7" t="s">
        <v>7</v>
      </c>
      <c r="G228" s="8">
        <v>19.920000000000002</v>
      </c>
      <c r="H228" s="7" t="s">
        <v>3</v>
      </c>
      <c r="I228" s="7" t="s">
        <v>298</v>
      </c>
      <c r="J228" s="7" t="s">
        <v>17</v>
      </c>
      <c r="K228" s="7" t="s">
        <v>302</v>
      </c>
      <c r="L228" s="2"/>
      <c r="M228" s="2"/>
      <c r="N228" s="2"/>
      <c r="O228" s="2"/>
      <c r="P228" s="2"/>
      <c r="Q228" s="2"/>
      <c r="R228" s="2"/>
      <c r="S228" s="2"/>
      <c r="T228" s="2"/>
      <c r="U228" s="2"/>
    </row>
    <row r="229" spans="4:21" x14ac:dyDescent="0.25">
      <c r="D229" s="7" t="s">
        <v>55</v>
      </c>
      <c r="E229" s="7" t="s">
        <v>1</v>
      </c>
      <c r="F229" s="7" t="s">
        <v>7</v>
      </c>
      <c r="G229" s="8" t="s">
        <v>303</v>
      </c>
      <c r="H229" s="7" t="s">
        <v>3</v>
      </c>
      <c r="I229" s="7" t="s">
        <v>192</v>
      </c>
      <c r="J229" s="7" t="s">
        <v>17</v>
      </c>
      <c r="K229" s="7" t="s">
        <v>302</v>
      </c>
      <c r="L229" s="2"/>
      <c r="M229" s="2"/>
      <c r="N229" s="2"/>
      <c r="O229" s="2"/>
      <c r="P229" s="2"/>
      <c r="Q229" s="2"/>
      <c r="R229" s="2"/>
      <c r="S229" s="2"/>
      <c r="T229" s="2"/>
      <c r="U229" s="2"/>
    </row>
    <row r="230" spans="4:21" x14ac:dyDescent="0.25">
      <c r="D230" s="7" t="s">
        <v>217</v>
      </c>
      <c r="E230" s="7" t="s">
        <v>1</v>
      </c>
      <c r="F230" s="7" t="s">
        <v>19</v>
      </c>
      <c r="G230" s="8">
        <v>15.99</v>
      </c>
      <c r="H230" s="7" t="s">
        <v>8</v>
      </c>
      <c r="I230" s="7">
        <v>128</v>
      </c>
      <c r="J230" s="7" t="s">
        <v>63</v>
      </c>
      <c r="K230" s="7" t="s">
        <v>304</v>
      </c>
      <c r="L230" s="2"/>
    </row>
    <row r="231" spans="4:21" x14ac:dyDescent="0.25">
      <c r="D231" s="7" t="s">
        <v>88</v>
      </c>
      <c r="E231" s="13" t="s">
        <v>1</v>
      </c>
      <c r="F231" s="7" t="s">
        <v>12</v>
      </c>
      <c r="G231" s="8">
        <v>0.49</v>
      </c>
      <c r="H231" s="7" t="s">
        <v>3</v>
      </c>
      <c r="I231" s="7" t="s">
        <v>1</v>
      </c>
      <c r="J231" s="7" t="s">
        <v>60</v>
      </c>
      <c r="K231" s="7" t="s">
        <v>304</v>
      </c>
      <c r="L231" s="7"/>
    </row>
    <row r="232" spans="4:21" x14ac:dyDescent="0.25">
      <c r="D232" s="7" t="s">
        <v>5</v>
      </c>
      <c r="E232" s="7" t="s">
        <v>1</v>
      </c>
      <c r="F232" s="7" t="s">
        <v>2</v>
      </c>
      <c r="G232" s="8">
        <v>6.17</v>
      </c>
      <c r="H232" s="7" t="s">
        <v>3</v>
      </c>
      <c r="I232" s="7">
        <v>14</v>
      </c>
      <c r="J232" s="7" t="s">
        <v>4</v>
      </c>
      <c r="K232" s="7" t="s">
        <v>305</v>
      </c>
      <c r="L232" s="2"/>
    </row>
    <row r="233" spans="4:21" x14ac:dyDescent="0.25">
      <c r="D233" s="7" t="s">
        <v>90</v>
      </c>
      <c r="E233" s="13" t="s">
        <v>1</v>
      </c>
      <c r="F233" s="7" t="s">
        <v>91</v>
      </c>
      <c r="G233" s="8">
        <v>23</v>
      </c>
      <c r="H233" s="7" t="s">
        <v>3</v>
      </c>
      <c r="I233" s="7">
        <v>75</v>
      </c>
      <c r="J233" s="7" t="s">
        <v>60</v>
      </c>
      <c r="K233" s="7" t="s">
        <v>306</v>
      </c>
      <c r="L233" s="7"/>
    </row>
    <row r="234" spans="4:21" x14ac:dyDescent="0.25">
      <c r="D234" s="2"/>
      <c r="E234" s="5"/>
      <c r="F234" s="2"/>
      <c r="J234" s="2"/>
      <c r="K234" s="2"/>
      <c r="L234" s="2"/>
    </row>
  </sheetData>
  <sortState ref="D4:K233">
    <sortCondition ref="K4:K233"/>
    <sortCondition ref="J4:J233"/>
  </sortState>
  <dataValidations disablePrompts="1" count="2">
    <dataValidation type="list" showInputMessage="1" showErrorMessage="1" sqref="F5:F233" xr:uid="{00000000-0002-0000-0300-000000000000}">
      <formula1>UM</formula1>
    </dataValidation>
    <dataValidation type="list" showInputMessage="1" showErrorMessage="1" sqref="H5:H229" xr:uid="{00000000-0002-0000-0300-000001000000}">
      <formula1>RU</formula1>
    </dataValidation>
  </dataValidations>
  <printOptions horizontalCentered="1"/>
  <pageMargins left="0.7" right="0.7" top="1.75" bottom="0.75" header="0.8" footer="0.3"/>
  <pageSetup scale="40" orientation="portrait" r:id="rId1"/>
  <headerFooter>
    <oddHeader>&amp;C&amp;"Arial,Bold"&amp;14FRESH INVENTORY&amp;"Arial,Regular"&amp;10
DATE______________
ORDER ARRIVES ON _________________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E0660FE38C7141B833DB803FA62485" ma:contentTypeVersion="7" ma:contentTypeDescription="Create a new document." ma:contentTypeScope="" ma:versionID="b40e7e91606baaffe3e84f8b0274697d">
  <xsd:schema xmlns:xsd="http://www.w3.org/2001/XMLSchema" xmlns:xs="http://www.w3.org/2001/XMLSchema" xmlns:p="http://schemas.microsoft.com/office/2006/metadata/properties" xmlns:ns2="3ac079cf-fbcc-4bc7-8c89-3bc6fe7ec5ca" xmlns:ns3="8f571129-d5ba-48dd-9b30-56ba8165cef7" targetNamespace="http://schemas.microsoft.com/office/2006/metadata/properties" ma:root="true" ma:fieldsID="3cf276b9bcb467bb15f7538737a242c4" ns2:_="" ns3:_="">
    <xsd:import namespace="3ac079cf-fbcc-4bc7-8c89-3bc6fe7ec5ca"/>
    <xsd:import namespace="8f571129-d5ba-48dd-9b30-56ba8165cef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c079cf-fbcc-4bc7-8c89-3bc6fe7ec5c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571129-d5ba-48dd-9b30-56ba8165cef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23427BD-DD4D-49DB-968F-91D8BB9A8E2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F209F8-D731-43B2-A64B-3A78AE20A0D1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ac079cf-fbcc-4bc7-8c89-3bc6fe7ec5ca"/>
    <ds:schemaRef ds:uri="8f571129-d5ba-48dd-9b30-56ba8165cef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8E775F5-B1D5-4CC9-B21F-ECAACC44EA55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PRICES&amp;SUPPLIER</vt:lpstr>
    </vt:vector>
  </TitlesOfParts>
  <Manager/>
  <Company>RestaurantOwner.com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Menu &amp; Recipe Costing Template</dc:title>
  <dc:subject>RestaurantOwner.com</dc:subject>
  <dc:creator>Joe Erickson</dc:creator>
  <cp:keywords/>
  <dc:description/>
  <cp:lastModifiedBy>bbcoe</cp:lastModifiedBy>
  <cp:revision/>
  <cp:lastPrinted>2021-03-09T03:50:51Z</cp:lastPrinted>
  <dcterms:created xsi:type="dcterms:W3CDTF">2020-02-15T18:19:23Z</dcterms:created>
  <dcterms:modified xsi:type="dcterms:W3CDTF">2021-08-19T22:17:19Z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0x0101000CE0660FE38C7141B833DB803FA62485</vt:lpwstr>
  </property>
</Properties>
</file>